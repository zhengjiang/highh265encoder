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/>
  <bookViews>
    <workbookView xWindow="165" yWindow="120" windowWidth="20700" windowHeight="11700" tabRatio="813"/>
  </bookViews>
  <sheets>
    <sheet name="Sheet1" sheetId="42" r:id="rId1"/>
    <sheet name="empty" sheetId="16" r:id="rId2"/>
  </sheets>
  <functionGroups builtInGroupCount="17"/>
  <calcPr calcId="145621"/>
</workbook>
</file>

<file path=xl/calcChain.xml><?xml version="1.0" encoding="utf-8"?>
<calcChain xmlns="http://schemas.openxmlformats.org/spreadsheetml/2006/main">
  <c r="AC4" i="16" l="1"/>
  <c r="AC5" i="16"/>
  <c r="AC6" i="16"/>
  <c r="AC7" i="16"/>
  <c r="AC8" i="16"/>
  <c r="AC9" i="16"/>
  <c r="AC10" i="16"/>
  <c r="AC3" i="16"/>
  <c r="R108" i="16" l="1"/>
  <c r="I106" i="16"/>
  <c r="R106" i="16"/>
  <c r="T98" i="16"/>
  <c r="S98" i="16"/>
  <c r="K98" i="16"/>
  <c r="J98" i="16"/>
  <c r="T97" i="16"/>
  <c r="S97" i="16"/>
  <c r="K97" i="16"/>
  <c r="J97" i="16"/>
  <c r="T96" i="16"/>
  <c r="S96" i="16"/>
  <c r="K96" i="16"/>
  <c r="J96" i="16"/>
  <c r="T95" i="16"/>
  <c r="S95" i="16"/>
  <c r="K95" i="16"/>
  <c r="J95" i="16"/>
  <c r="T94" i="16"/>
  <c r="S94" i="16"/>
  <c r="K94" i="16"/>
  <c r="J94" i="16"/>
  <c r="T93" i="16"/>
  <c r="S93" i="16"/>
  <c r="K93" i="16"/>
  <c r="J93" i="16"/>
  <c r="T92" i="16"/>
  <c r="S92" i="16"/>
  <c r="K92" i="16"/>
  <c r="J92" i="16"/>
  <c r="T91" i="16"/>
  <c r="S91" i="16"/>
  <c r="K91" i="16"/>
  <c r="J91" i="16"/>
  <c r="T90" i="16"/>
  <c r="S90" i="16"/>
  <c r="K90" i="16"/>
  <c r="J90" i="16"/>
  <c r="T89" i="16"/>
  <c r="S89" i="16"/>
  <c r="K89" i="16"/>
  <c r="J89" i="16"/>
  <c r="T88" i="16"/>
  <c r="S88" i="16"/>
  <c r="K88" i="16"/>
  <c r="J88" i="16"/>
  <c r="T87" i="16"/>
  <c r="S87" i="16"/>
  <c r="K87" i="16"/>
  <c r="J87" i="16"/>
  <c r="T86" i="16"/>
  <c r="S86" i="16"/>
  <c r="K86" i="16"/>
  <c r="J86" i="16"/>
  <c r="T85" i="16"/>
  <c r="S85" i="16"/>
  <c r="K85" i="16"/>
  <c r="J85" i="16"/>
  <c r="T84" i="16"/>
  <c r="S84" i="16"/>
  <c r="K84" i="16"/>
  <c r="J84" i="16"/>
  <c r="T83" i="16"/>
  <c r="S83" i="16"/>
  <c r="K83" i="16"/>
  <c r="J83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R107" i="16" l="1"/>
  <c r="T70" i="16"/>
  <c r="S70" i="16"/>
  <c r="K70" i="16"/>
  <c r="J70" i="16"/>
  <c r="T69" i="16"/>
  <c r="S69" i="16"/>
  <c r="K69" i="16"/>
  <c r="J69" i="16"/>
  <c r="T68" i="16"/>
  <c r="S68" i="16"/>
  <c r="K68" i="16"/>
  <c r="J68" i="16"/>
  <c r="T67" i="16"/>
  <c r="S67" i="16"/>
  <c r="K67" i="16"/>
  <c r="J67" i="16"/>
  <c r="T66" i="16"/>
  <c r="S66" i="16"/>
  <c r="K66" i="16"/>
  <c r="J66" i="16"/>
  <c r="T65" i="16"/>
  <c r="S65" i="16"/>
  <c r="K65" i="16"/>
  <c r="J65" i="16"/>
  <c r="T64" i="16"/>
  <c r="S64" i="16"/>
  <c r="K64" i="16"/>
  <c r="J64" i="16"/>
  <c r="T63" i="16"/>
  <c r="S63" i="16"/>
  <c r="K63" i="16"/>
  <c r="J63" i="16"/>
  <c r="T62" i="16"/>
  <c r="S62" i="16"/>
  <c r="K62" i="16"/>
  <c r="J62" i="16"/>
  <c r="T61" i="16"/>
  <c r="S61" i="16"/>
  <c r="K61" i="16"/>
  <c r="J61" i="16"/>
  <c r="T60" i="16"/>
  <c r="S60" i="16"/>
  <c r="K60" i="16"/>
  <c r="J60" i="16"/>
  <c r="T59" i="16"/>
  <c r="S59" i="16"/>
  <c r="K59" i="16"/>
  <c r="J59" i="16"/>
  <c r="T58" i="16"/>
  <c r="S58" i="16"/>
  <c r="K58" i="16"/>
  <c r="J58" i="16"/>
  <c r="T57" i="16"/>
  <c r="S57" i="16"/>
  <c r="K57" i="16"/>
  <c r="J57" i="16"/>
  <c r="T56" i="16"/>
  <c r="S56" i="16"/>
  <c r="K56" i="16"/>
  <c r="J56" i="16"/>
  <c r="T55" i="16"/>
  <c r="S55" i="16"/>
  <c r="K55" i="16"/>
  <c r="J55" i="16"/>
  <c r="T54" i="16"/>
  <c r="S54" i="16"/>
  <c r="K54" i="16"/>
  <c r="J54" i="16"/>
  <c r="T53" i="16"/>
  <c r="S53" i="16"/>
  <c r="K53" i="16"/>
  <c r="J53" i="16"/>
  <c r="T52" i="16"/>
  <c r="S52" i="16"/>
  <c r="K52" i="16"/>
  <c r="J52" i="16"/>
  <c r="T51" i="16"/>
  <c r="S51" i="16"/>
  <c r="K51" i="16"/>
  <c r="J51" i="16"/>
  <c r="T50" i="16"/>
  <c r="S50" i="16"/>
  <c r="K50" i="16"/>
  <c r="J50" i="16"/>
  <c r="T49" i="16"/>
  <c r="S49" i="16"/>
  <c r="K49" i="16"/>
  <c r="J49" i="16"/>
  <c r="T48" i="16"/>
  <c r="S48" i="16"/>
  <c r="K48" i="16"/>
  <c r="J48" i="16"/>
  <c r="T47" i="16"/>
  <c r="S47" i="16"/>
  <c r="K47" i="16"/>
  <c r="J47" i="16"/>
  <c r="T46" i="16"/>
  <c r="S46" i="16"/>
  <c r="K46" i="16"/>
  <c r="J46" i="16"/>
  <c r="T45" i="16"/>
  <c r="S45" i="16"/>
  <c r="K45" i="16"/>
  <c r="J45" i="16"/>
  <c r="T44" i="16"/>
  <c r="S44" i="16"/>
  <c r="K44" i="16"/>
  <c r="J44" i="16"/>
  <c r="T43" i="16"/>
  <c r="S43" i="16"/>
  <c r="K43" i="16"/>
  <c r="J43" i="16"/>
  <c r="T42" i="16"/>
  <c r="S42" i="16"/>
  <c r="K42" i="16"/>
  <c r="J42" i="16"/>
  <c r="T41" i="16"/>
  <c r="S41" i="16"/>
  <c r="K41" i="16"/>
  <c r="J41" i="16"/>
  <c r="T40" i="16"/>
  <c r="S40" i="16"/>
  <c r="K40" i="16"/>
  <c r="J40" i="16"/>
  <c r="T39" i="16"/>
  <c r="S39" i="16"/>
  <c r="K39" i="16"/>
  <c r="J39" i="16"/>
  <c r="T38" i="16"/>
  <c r="S38" i="16"/>
  <c r="K38" i="16"/>
  <c r="J38" i="16"/>
  <c r="T37" i="16"/>
  <c r="S37" i="16"/>
  <c r="K37" i="16"/>
  <c r="J37" i="16"/>
  <c r="T36" i="16"/>
  <c r="S36" i="16"/>
  <c r="K36" i="16"/>
  <c r="J36" i="16"/>
  <c r="T35" i="16"/>
  <c r="S35" i="16"/>
  <c r="K35" i="16"/>
  <c r="J35" i="16"/>
  <c r="T34" i="16"/>
  <c r="S34" i="16"/>
  <c r="K34" i="16"/>
  <c r="J34" i="16"/>
  <c r="T33" i="16"/>
  <c r="S33" i="16"/>
  <c r="K33" i="16"/>
  <c r="J33" i="16"/>
  <c r="T32" i="16"/>
  <c r="S32" i="16"/>
  <c r="K32" i="16"/>
  <c r="J32" i="16"/>
  <c r="T31" i="16"/>
  <c r="S31" i="16"/>
  <c r="K31" i="16"/>
  <c r="J31" i="16"/>
  <c r="T30" i="16"/>
  <c r="S30" i="16"/>
  <c r="K30" i="16"/>
  <c r="J30" i="16"/>
  <c r="T29" i="16"/>
  <c r="S29" i="16"/>
  <c r="K29" i="16"/>
  <c r="J29" i="16"/>
  <c r="T28" i="16"/>
  <c r="S28" i="16"/>
  <c r="K28" i="16"/>
  <c r="J28" i="16"/>
  <c r="T27" i="16"/>
  <c r="S27" i="16"/>
  <c r="K27" i="16"/>
  <c r="J27" i="16"/>
  <c r="T26" i="16"/>
  <c r="S26" i="16"/>
  <c r="K26" i="16"/>
  <c r="J26" i="16"/>
  <c r="T25" i="16"/>
  <c r="S25" i="16"/>
  <c r="K25" i="16"/>
  <c r="J25" i="16"/>
  <c r="T24" i="16"/>
  <c r="S24" i="16"/>
  <c r="K24" i="16"/>
  <c r="J24" i="16"/>
  <c r="T23" i="16"/>
  <c r="S23" i="16"/>
  <c r="K23" i="16"/>
  <c r="J23" i="16"/>
  <c r="T22" i="16"/>
  <c r="S22" i="16"/>
  <c r="K22" i="16"/>
  <c r="J22" i="16"/>
  <c r="T21" i="16"/>
  <c r="S21" i="16"/>
  <c r="K21" i="16"/>
  <c r="J21" i="16"/>
  <c r="T20" i="16"/>
  <c r="S20" i="16"/>
  <c r="K20" i="16"/>
  <c r="J20" i="16"/>
  <c r="T19" i="16"/>
  <c r="S19" i="16"/>
  <c r="K19" i="16"/>
  <c r="J19" i="16"/>
  <c r="T18" i="16"/>
  <c r="S18" i="16"/>
  <c r="K18" i="16"/>
  <c r="J18" i="16"/>
  <c r="T17" i="16"/>
  <c r="S17" i="16"/>
  <c r="K17" i="16"/>
  <c r="J17" i="16"/>
  <c r="T16" i="16"/>
  <c r="S16" i="16"/>
  <c r="K16" i="16"/>
  <c r="J16" i="16"/>
  <c r="T15" i="16"/>
  <c r="S15" i="16"/>
  <c r="K15" i="16"/>
  <c r="J15" i="16"/>
  <c r="T14" i="16"/>
  <c r="S14" i="16"/>
  <c r="K14" i="16"/>
  <c r="J14" i="16"/>
  <c r="T13" i="16"/>
  <c r="S13" i="16"/>
  <c r="K13" i="16"/>
  <c r="J13" i="16"/>
  <c r="T12" i="16"/>
  <c r="S12" i="16"/>
  <c r="K12" i="16"/>
  <c r="J12" i="16"/>
  <c r="T11" i="16"/>
  <c r="S11" i="16"/>
  <c r="K11" i="16"/>
  <c r="J11" i="16"/>
  <c r="T10" i="16"/>
  <c r="S10" i="16"/>
  <c r="K10" i="16"/>
  <c r="J10" i="16"/>
  <c r="T9" i="16"/>
  <c r="S9" i="16"/>
  <c r="K9" i="16"/>
  <c r="J9" i="16"/>
  <c r="T8" i="16"/>
  <c r="S8" i="16"/>
  <c r="K8" i="16"/>
  <c r="J8" i="16"/>
  <c r="T7" i="16"/>
  <c r="S7" i="16"/>
  <c r="K7" i="16"/>
  <c r="J7" i="16"/>
  <c r="T6" i="16"/>
  <c r="S6" i="16"/>
  <c r="K6" i="16"/>
  <c r="J6" i="16"/>
  <c r="T5" i="16"/>
  <c r="S5" i="16"/>
  <c r="K5" i="16"/>
  <c r="J5" i="16"/>
  <c r="T4" i="16"/>
  <c r="S4" i="16"/>
  <c r="K4" i="16"/>
  <c r="J4" i="16"/>
  <c r="T3" i="16"/>
  <c r="S3" i="16"/>
  <c r="K3" i="16"/>
  <c r="J3" i="16"/>
  <c r="T106" i="16" l="1"/>
  <c r="T108" i="16"/>
  <c r="K108" i="16"/>
  <c r="K106" i="16"/>
  <c r="AB59" i="16"/>
  <c r="Z39" i="16"/>
  <c r="W7" i="16"/>
  <c r="Y87" i="16"/>
  <c r="W51" i="16"/>
  <c r="W39" i="16"/>
  <c r="Y7" i="16"/>
  <c r="Z95" i="16"/>
  <c r="Z51" i="16"/>
  <c r="AA55" i="16"/>
  <c r="V51" i="16"/>
  <c r="Y59" i="16"/>
  <c r="X91" i="16"/>
  <c r="AB19" i="16"/>
  <c r="X35" i="16"/>
  <c r="AA91" i="16"/>
  <c r="W83" i="16"/>
  <c r="W87" i="16"/>
  <c r="W35" i="16"/>
  <c r="AB95" i="16"/>
  <c r="AA67" i="16"/>
  <c r="Z19" i="16"/>
  <c r="W15" i="16"/>
  <c r="AB79" i="16"/>
  <c r="AB27" i="16"/>
  <c r="Y27" i="16"/>
  <c r="AB15" i="16"/>
  <c r="AA39" i="16"/>
  <c r="AB35" i="16"/>
  <c r="AA79" i="16"/>
  <c r="Z23" i="16"/>
  <c r="Y83" i="16"/>
  <c r="W3" i="16"/>
  <c r="X31" i="16"/>
  <c r="V23" i="16"/>
  <c r="AA31" i="16"/>
  <c r="AB75" i="16"/>
  <c r="V79" i="16"/>
  <c r="Y79" i="16"/>
  <c r="W59" i="16"/>
  <c r="Z91" i="16"/>
  <c r="X11" i="16"/>
  <c r="Z59" i="16"/>
  <c r="V19" i="16"/>
  <c r="V71" i="16"/>
  <c r="X51" i="16"/>
  <c r="AA35" i="16"/>
  <c r="Y39" i="16"/>
  <c r="AA47" i="16"/>
  <c r="V11" i="16"/>
  <c r="V95" i="16"/>
  <c r="Y19" i="16"/>
  <c r="AA15" i="16"/>
  <c r="V35" i="16"/>
  <c r="V63" i="16"/>
  <c r="AB3" i="16"/>
  <c r="AB47" i="16"/>
  <c r="AB71" i="16"/>
  <c r="Z47" i="16"/>
  <c r="W11" i="16"/>
  <c r="Y11" i="16"/>
  <c r="AB83" i="16"/>
  <c r="Z75" i="16"/>
  <c r="Z67" i="16"/>
  <c r="Z7" i="16"/>
  <c r="AB7" i="16"/>
  <c r="X39" i="16"/>
  <c r="AA63" i="16"/>
  <c r="X75" i="16"/>
  <c r="X87" i="16"/>
  <c r="AA23" i="16"/>
  <c r="AA83" i="16"/>
  <c r="Y71" i="16"/>
  <c r="W23" i="16"/>
  <c r="V7" i="16"/>
  <c r="AA75" i="16"/>
  <c r="W31" i="16"/>
  <c r="W79" i="16"/>
  <c r="AA71" i="16"/>
  <c r="AA7" i="16"/>
  <c r="X59" i="16"/>
  <c r="AA95" i="16"/>
  <c r="V15" i="16"/>
  <c r="W71" i="16"/>
  <c r="X27" i="16"/>
  <c r="Y31" i="16"/>
  <c r="Y75" i="16"/>
  <c r="Z79" i="16"/>
  <c r="V39" i="16"/>
  <c r="W63" i="16"/>
  <c r="AB91" i="16"/>
  <c r="AB39" i="16"/>
  <c r="V59" i="16"/>
  <c r="Y3" i="16"/>
  <c r="X67" i="16"/>
  <c r="AB31" i="16"/>
  <c r="Y43" i="16"/>
  <c r="V87" i="16"/>
  <c r="W91" i="16"/>
  <c r="W47" i="16"/>
  <c r="X15" i="16"/>
  <c r="Z31" i="16"/>
  <c r="X95" i="16"/>
  <c r="Z15" i="16"/>
  <c r="Z87" i="16"/>
  <c r="X71" i="16"/>
  <c r="AB43" i="16"/>
  <c r="AA11" i="16"/>
  <c r="X55" i="16"/>
  <c r="X47" i="16"/>
  <c r="AA3" i="16"/>
  <c r="W75" i="16"/>
  <c r="W67" i="16"/>
  <c r="AB55" i="16"/>
  <c r="Y91" i="16"/>
  <c r="V3" i="16"/>
  <c r="V91" i="16"/>
  <c r="V55" i="16"/>
  <c r="AA19" i="16"/>
  <c r="AA51" i="16"/>
  <c r="Z35" i="16"/>
  <c r="W19" i="16"/>
  <c r="Z71" i="16"/>
  <c r="Y63" i="16"/>
  <c r="AA59" i="16"/>
  <c r="Y15" i="16"/>
  <c r="X43" i="16"/>
  <c r="Z11" i="16"/>
  <c r="V47" i="16"/>
  <c r="X79" i="16"/>
  <c r="Z63" i="16"/>
  <c r="AA87" i="16"/>
  <c r="Z43" i="16"/>
  <c r="X83" i="16"/>
  <c r="X7" i="16"/>
  <c r="X19" i="16"/>
  <c r="W43" i="16"/>
  <c r="V31" i="16"/>
  <c r="AB23" i="16"/>
  <c r="V83" i="16"/>
  <c r="X63" i="16"/>
  <c r="W55" i="16"/>
  <c r="AB11" i="16"/>
  <c r="Y35" i="16"/>
  <c r="AB63" i="16"/>
  <c r="Y51" i="16"/>
  <c r="Z27" i="16"/>
  <c r="V75" i="16"/>
  <c r="Z83" i="16"/>
  <c r="AB51" i="16"/>
  <c r="W95" i="16"/>
  <c r="AA43" i="16"/>
  <c r="Z55" i="16"/>
  <c r="V67" i="16"/>
  <c r="V27" i="16"/>
  <c r="W27" i="16"/>
  <c r="AB67" i="16"/>
  <c r="Y95" i="16"/>
  <c r="Y67" i="16"/>
  <c r="AA27" i="16"/>
  <c r="Y23" i="16"/>
  <c r="Y55" i="16"/>
  <c r="X3" i="16"/>
  <c r="AB87" i="16"/>
  <c r="Z3" i="16"/>
  <c r="X23" i="16"/>
  <c r="V43" i="16"/>
  <c r="Y47" i="16"/>
  <c r="X104" i="16" l="1"/>
  <c r="Z103" i="16"/>
  <c r="Z102" i="16"/>
  <c r="W100" i="16"/>
  <c r="X103" i="16"/>
  <c r="AB103" i="16"/>
  <c r="AA101" i="16"/>
  <c r="Y103" i="16"/>
  <c r="X102" i="16"/>
  <c r="AA100" i="16"/>
  <c r="X100" i="16"/>
  <c r="AA104" i="16"/>
  <c r="AB99" i="16"/>
  <c r="AB105" i="16"/>
  <c r="Z105" i="16"/>
  <c r="Z99" i="16"/>
  <c r="V102" i="16"/>
  <c r="W102" i="16"/>
  <c r="Y100" i="16"/>
  <c r="V104" i="16"/>
  <c r="AA102" i="16"/>
  <c r="V99" i="16"/>
  <c r="V105" i="16"/>
  <c r="X101" i="16"/>
  <c r="Z100" i="16"/>
  <c r="Y101" i="16"/>
  <c r="AB102" i="16"/>
  <c r="X105" i="16"/>
  <c r="X99" i="16"/>
  <c r="Y99" i="16"/>
  <c r="Y105" i="16"/>
  <c r="Y102" i="16"/>
  <c r="W104" i="16"/>
  <c r="W103" i="16"/>
  <c r="W101" i="16"/>
  <c r="AB101" i="16"/>
  <c r="V103" i="16"/>
  <c r="AB104" i="16"/>
  <c r="V100" i="16"/>
  <c r="AA103" i="16"/>
  <c r="AB100" i="16"/>
  <c r="Z104" i="16"/>
  <c r="W105" i="16"/>
  <c r="W99" i="16"/>
  <c r="Y104" i="16"/>
  <c r="AA99" i="16"/>
  <c r="AA105" i="16"/>
  <c r="V101" i="16"/>
  <c r="Z101" i="16"/>
  <c r="T107" i="16"/>
</calcChain>
</file>

<file path=xl/sharedStrings.xml><?xml version="1.0" encoding="utf-8"?>
<sst xmlns="http://schemas.openxmlformats.org/spreadsheetml/2006/main" count="101" uniqueCount="84">
  <si>
    <t>Nebuta</t>
  </si>
  <si>
    <t>QPISlice</t>
  </si>
  <si>
    <t>Class A</t>
  </si>
  <si>
    <t>SteamLocomotive</t>
  </si>
  <si>
    <t>Class B</t>
  </si>
  <si>
    <t>Kimono</t>
  </si>
  <si>
    <t>1080p</t>
  </si>
  <si>
    <t>ParkScene</t>
  </si>
  <si>
    <t>Cactus</t>
  </si>
  <si>
    <t>BasketballDrive</t>
  </si>
  <si>
    <t>BQTerrace</t>
  </si>
  <si>
    <t>Class C</t>
  </si>
  <si>
    <t>BasketballDrill</t>
  </si>
  <si>
    <t>WVGA</t>
  </si>
  <si>
    <t>BQMall</t>
  </si>
  <si>
    <t>PartyScene</t>
  </si>
  <si>
    <t>RaceHorses</t>
  </si>
  <si>
    <t>Class D</t>
  </si>
  <si>
    <t>BasketballPass</t>
  </si>
  <si>
    <t>WQVGA</t>
  </si>
  <si>
    <t>BQSquare</t>
  </si>
  <si>
    <t>BlowingBubbles</t>
  </si>
  <si>
    <t>ClassE</t>
  </si>
  <si>
    <t>720p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</si>
  <si>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</si>
  <si>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</si>
  <si>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</si>
  <si>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</si>
  <si>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</si>
  <si>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</si>
  <si>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</si>
  <si>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</si>
  <si>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</si>
  <si>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</si>
  <si>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</si>
  <si>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</si>
  <si>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</si>
  <si>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</si>
  <si>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</si>
  <si>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</si>
  <si>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</si>
  <si>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</si>
  <si>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</si>
  <si>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Avg PSNR</t>
    <phoneticPr fontId="1" type="noConversion"/>
  </si>
  <si>
    <t>YUV</t>
    <phoneticPr fontId="1" type="noConversion"/>
  </si>
  <si>
    <t>Class F</t>
    <phoneticPr fontId="6" type="noConversion"/>
  </si>
  <si>
    <t>SCC</t>
    <phoneticPr fontId="6" type="noConversion"/>
  </si>
  <si>
    <t>BasketballDrillText</t>
  </si>
  <si>
    <t>ChinaSpeed</t>
  </si>
  <si>
    <t>SlideEditing</t>
  </si>
  <si>
    <t>SlideShow</t>
  </si>
  <si>
    <t>FourPeople</t>
  </si>
  <si>
    <t>Johnny</t>
  </si>
  <si>
    <t>KristenAndSara</t>
  </si>
  <si>
    <t>720x576</t>
    <phoneticPr fontId="6" type="noConversion"/>
  </si>
  <si>
    <t>all intra</t>
    <phoneticPr fontId="6" type="noConversion"/>
  </si>
  <si>
    <t>P B</t>
    <phoneticPr fontId="6" type="noConversion"/>
  </si>
  <si>
    <t>ice and fire</t>
    <phoneticPr fontId="6" type="noConversion"/>
  </si>
  <si>
    <t>encrate</t>
    <phoneticPr fontId="6" type="noConversion"/>
  </si>
  <si>
    <t>x264:</t>
    <phoneticPr fontId="6" type="noConversion"/>
  </si>
  <si>
    <t>x264-r2409-d6b4e63</t>
    <phoneticPr fontId="6" type="noConversion"/>
  </si>
  <si>
    <t>32bit</t>
    <phoneticPr fontId="6" type="noConversion"/>
  </si>
  <si>
    <t>x265:</t>
    <phoneticPr fontId="6" type="noConversion"/>
  </si>
  <si>
    <t>2014-0408</t>
    <phoneticPr fontId="6" type="noConversion"/>
  </si>
  <si>
    <t>64bit</t>
    <phoneticPr fontId="6" type="noConversion"/>
  </si>
  <si>
    <t>测试平台：</t>
    <phoneticPr fontId="6" type="noConversion"/>
  </si>
  <si>
    <t>win7 64bit</t>
    <phoneticPr fontId="6" type="noConversion"/>
  </si>
  <si>
    <t>intel core i7-2670QM 2.20Ghz</t>
    <phoneticPr fontId="6" type="noConversion"/>
  </si>
  <si>
    <t>ram 8.0G</t>
    <phoneticPr fontId="6" type="noConversion"/>
  </si>
  <si>
    <t>测试序列：</t>
    <phoneticPr fontId="6" type="noConversion"/>
  </si>
  <si>
    <t>ice and fire</t>
    <phoneticPr fontId="6" type="noConversion"/>
  </si>
  <si>
    <t>测试配置：</t>
    <phoneticPr fontId="6" type="noConversion"/>
  </si>
  <si>
    <t>x264 intra:</t>
    <phoneticPr fontId="6" type="noConversion"/>
  </si>
  <si>
    <t>x264 inter:</t>
    <phoneticPr fontId="6" type="noConversion"/>
  </si>
  <si>
    <t>x265 intra:</t>
    <phoneticPr fontId="6" type="noConversion"/>
  </si>
  <si>
    <t>x265 inter:</t>
    <phoneticPr fontId="6" type="noConversion"/>
  </si>
  <si>
    <t>本次测试不涉及多线程。</t>
    <phoneticPr fontId="6" type="noConversion"/>
  </si>
  <si>
    <t xml:space="preserve">x265_0408_64.exe --input iceandfire_720x576.yuv --frames 1000 --input-res 720x576 --fps 30 --keyint 1 -o output_i_22.265 --ctu 64 --tu-intra-depth 3 --tu-inter-depth 3 --qp 22 --bframes 0 --b-adapt 0 --ref 4 --merange 64 --max-merge 5 --rd 2 --sao --amp --rect --no-wpp --hash 1 --rdpenalty 0 --rc-lookahead 0 --psnr </t>
    <phoneticPr fontId="6" type="noConversion"/>
  </si>
  <si>
    <t xml:space="preserve">x265_0408_64.exe --input iceandfire_720x576.yuv --frames 1000 --input-res 720x576 --fps 30 --keyint 1000 -o output_p_22.265 --ctu 64 --tu-intra-depth 3 --tu-inter-depth 3 --qp 22 --bframes 3 --b-adapt 0 --ref 4 --merange 64 --max-merge 5 --rd 2 --sao --amp --rect --no-wpp --hash 1 --rdpenalty 0 --rc-lookahead 4 --psnr </t>
    <phoneticPr fontId="6" type="noConversion"/>
  </si>
  <si>
    <t>x264-r2409-d6b4e63.exe --rc-lookahead 0 --aq-mode 0 --qp 22 --frames 1000 --keyint 1 --bframes 0 --b-adapt 0 --ref 4 --partitions i8x8,p8x8 --direct auto --me dia --merange 64 --subme 10 --no-chroma-me --trellis 2 --fps 30/1 --sar 1:1 --threads 1 -o output_i_22.264 iceandfire_720x576.yuv --input-res 720x576 --psnr</t>
    <phoneticPr fontId="6" type="noConversion"/>
  </si>
  <si>
    <t>x264-r2409-d6b4e63.exe --rc-lookahead 4 --aq-mode 0 --qp 22 --frames 1000 --keyint 1000 --bframes 3 --b-adapt 0 --ref 4 --partitions i8x8,p8x8 --direct auto --me dia --merange 64 --subme 10 --no-chroma-me --trellis 2 --fps 30/1 --sar 1:1 --threads 1 -o output_p_22.264 iceandfire_720x576.yuv --input-res 720x576 --psnr</t>
    <phoneticPr fontId="6" type="noConversion"/>
  </si>
  <si>
    <t>说明：</t>
    <phoneticPr fontId="6" type="noConversion"/>
  </si>
  <si>
    <t>汇编支持：</t>
    <phoneticPr fontId="6" type="noConversion"/>
  </si>
  <si>
    <r>
      <rPr>
        <sz val="12"/>
        <color theme="1"/>
        <rFont val="宋体"/>
        <family val="3"/>
        <charset val="134"/>
      </rPr>
      <t>最高到</t>
    </r>
    <r>
      <rPr>
        <sz val="12"/>
        <color theme="1"/>
        <rFont val="Calibri"/>
        <family val="2"/>
      </rPr>
      <t>avx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</si>
</sst>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2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12"/>
      <color theme="1"/>
      <name val="宋体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9"/>
      <color rgb="FF000000"/>
      <name val="Arial"/>
      <family val="2"/>
    </font>
    <font>
      <sz val="12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6">
    <xf numFmtId="0" fontId="0" fillId="0" borderId="0"/>
    <xf numFmtId="0" fontId="5" fillId="0" borderId="0"/>
    <xf numFmtId="0" fontId="7" fillId="0" borderId="0"/>
    <xf numFmtId="0" fontId="8" fillId="0" borderId="0"/>
    <xf numFmtId="0" fontId="9" fillId="0" borderId="0"/>
    <xf numFmtId="0" fontId="8" fillId="0" borderId="0"/>
  </cellStyleXfs>
  <cellXfs count="9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6" xfId="0" applyNumberFormat="1" applyFont="1" applyFill="1" applyBorder="1" applyAlignment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176" fontId="2" fillId="2" borderId="6" xfId="0" applyNumberFormat="1" applyFont="1" applyFill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8" xfId="0" applyFont="1" applyBorder="1"/>
    <xf numFmtId="176" fontId="2" fillId="2" borderId="9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9" xfId="0" applyNumberFormat="1" applyFont="1" applyFill="1" applyBorder="1"/>
    <xf numFmtId="176" fontId="2" fillId="2" borderId="0" xfId="0" applyNumberFormat="1" applyFont="1" applyFill="1" applyBorder="1"/>
    <xf numFmtId="176" fontId="2" fillId="2" borderId="10" xfId="0" applyNumberFormat="1" applyFont="1" applyFill="1" applyBorder="1"/>
    <xf numFmtId="0" fontId="2" fillId="0" borderId="9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12" xfId="0" applyNumberFormat="1" applyFont="1" applyFill="1" applyBorder="1" applyAlignment="1"/>
    <xf numFmtId="176" fontId="2" fillId="2" borderId="13" xfId="0" applyNumberFormat="1" applyFont="1" applyFill="1" applyBorder="1" applyAlignment="1"/>
    <xf numFmtId="176" fontId="2" fillId="2" borderId="14" xfId="0" applyNumberFormat="1" applyFont="1" applyFill="1" applyBorder="1" applyAlignment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76" fontId="2" fillId="2" borderId="14" xfId="0" applyNumberFormat="1" applyFont="1" applyFill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177" fontId="2" fillId="0" borderId="9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177" fontId="2" fillId="0" borderId="10" xfId="0" applyNumberFormat="1" applyFont="1" applyBorder="1" applyAlignment="1">
      <alignment horizontal="center"/>
    </xf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2" xfId="0" applyFont="1" applyBorder="1" applyAlignment="1">
      <alignment horizontal="center"/>
    </xf>
    <xf numFmtId="176" fontId="4" fillId="2" borderId="4" xfId="1" applyNumberFormat="1" applyFont="1" applyFill="1" applyBorder="1" applyAlignment="1"/>
    <xf numFmtId="176" fontId="4" fillId="2" borderId="5" xfId="1" applyNumberFormat="1" applyFont="1" applyFill="1" applyBorder="1" applyAlignment="1"/>
    <xf numFmtId="176" fontId="4" fillId="2" borderId="9" xfId="1" applyNumberFormat="1" applyFont="1" applyFill="1" applyBorder="1" applyAlignment="1"/>
    <xf numFmtId="176" fontId="4" fillId="2" borderId="0" xfId="1" applyNumberFormat="1" applyFont="1" applyFill="1" applyBorder="1" applyAlignment="1"/>
    <xf numFmtId="176" fontId="4" fillId="2" borderId="12" xfId="1" applyNumberFormat="1" applyFont="1" applyFill="1" applyBorder="1" applyAlignment="1"/>
    <xf numFmtId="176" fontId="4" fillId="2" borderId="13" xfId="1" applyNumberFormat="1" applyFont="1" applyFill="1" applyBorder="1" applyAlignment="1"/>
    <xf numFmtId="0" fontId="2" fillId="0" borderId="0" xfId="0" applyFont="1"/>
    <xf numFmtId="0" fontId="2" fillId="0" borderId="7" xfId="0" applyFont="1" applyBorder="1"/>
    <xf numFmtId="176" fontId="2" fillId="2" borderId="6" xfId="0" applyNumberFormat="1" applyFont="1" applyFill="1" applyBorder="1" applyAlignment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0" fontId="2" fillId="0" borderId="8" xfId="0" applyFont="1" applyBorder="1"/>
    <xf numFmtId="176" fontId="2" fillId="2" borderId="10" xfId="0" applyNumberFormat="1" applyFont="1" applyFill="1" applyBorder="1" applyAlignment="1"/>
    <xf numFmtId="0" fontId="2" fillId="0" borderId="9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14" xfId="0" applyNumberFormat="1" applyFont="1" applyFill="1" applyBorder="1" applyAlignment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177" fontId="2" fillId="0" borderId="9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177" fontId="2" fillId="0" borderId="10" xfId="0" applyNumberFormat="1" applyFont="1" applyBorder="1" applyAlignment="1">
      <alignment horizontal="center"/>
    </xf>
    <xf numFmtId="176" fontId="2" fillId="0" borderId="0" xfId="0" applyNumberFormat="1" applyFont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9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2" xfId="0" applyNumberFormat="1" applyFont="1" applyFill="1" applyBorder="1" applyAlignment="1"/>
    <xf numFmtId="176" fontId="2" fillId="2" borderId="13" xfId="0" applyNumberFormat="1" applyFont="1" applyFill="1" applyBorder="1" applyAlignment="1"/>
    <xf numFmtId="177" fontId="2" fillId="0" borderId="1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7" fontId="2" fillId="0" borderId="3" xfId="0" applyNumberFormat="1" applyFont="1" applyBorder="1" applyAlignment="1">
      <alignment horizontal="center"/>
    </xf>
    <xf numFmtId="0" fontId="2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76" fontId="10" fillId="3" borderId="15" xfId="0" applyNumberFormat="1" applyFont="1" applyFill="1" applyBorder="1" applyAlignment="1">
      <alignment wrapText="1"/>
    </xf>
    <xf numFmtId="176" fontId="10" fillId="3" borderId="16" xfId="0" applyNumberFormat="1" applyFont="1" applyFill="1" applyBorder="1" applyAlignment="1">
      <alignment wrapText="1"/>
    </xf>
    <xf numFmtId="176" fontId="10" fillId="3" borderId="17" xfId="0" applyNumberFormat="1" applyFont="1" applyFill="1" applyBorder="1" applyAlignment="1">
      <alignment wrapText="1"/>
    </xf>
    <xf numFmtId="176" fontId="10" fillId="3" borderId="0" xfId="0" applyNumberFormat="1" applyFont="1" applyFill="1" applyAlignment="1">
      <alignment wrapText="1"/>
    </xf>
    <xf numFmtId="176" fontId="10" fillId="3" borderId="18" xfId="0" applyNumberFormat="1" applyFont="1" applyFill="1" applyBorder="1" applyAlignment="1">
      <alignment wrapText="1"/>
    </xf>
    <xf numFmtId="176" fontId="10" fillId="3" borderId="19" xfId="0" applyNumberFormat="1" applyFont="1" applyFill="1" applyBorder="1" applyAlignment="1">
      <alignment wrapText="1"/>
    </xf>
    <xf numFmtId="0" fontId="11" fillId="0" borderId="0" xfId="0" applyFont="1"/>
  </cellXfs>
  <cellStyles count="6">
    <cellStyle name="Normal" xfId="0" builtinId="0"/>
    <cellStyle name="常规 2" xfId="1"/>
    <cellStyle name="常规 2 2" xfId="3"/>
    <cellStyle name="常规 2 2 2" xfId="5"/>
    <cellStyle name="常规 3" xfId="2"/>
    <cellStyle name="常规 4" xfId="4"/>
  </cellStyles>
  <dxfs count="17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topLeftCell="A7" workbookViewId="0">
      <selection activeCell="B20" sqref="B20"/>
    </sheetView>
  </sheetViews>
  <sheetFormatPr defaultRowHeight="15.75" x14ac:dyDescent="0.25"/>
  <sheetData>
    <row r="1" spans="1:4" x14ac:dyDescent="0.25">
      <c r="A1" t="s">
        <v>59</v>
      </c>
      <c r="B1" t="s">
        <v>60</v>
      </c>
      <c r="D1" t="s">
        <v>61</v>
      </c>
    </row>
    <row r="2" spans="1:4" x14ac:dyDescent="0.25">
      <c r="A2" t="s">
        <v>62</v>
      </c>
      <c r="B2" t="s">
        <v>63</v>
      </c>
      <c r="D2" t="s">
        <v>64</v>
      </c>
    </row>
    <row r="4" spans="1:4" x14ac:dyDescent="0.25">
      <c r="A4" s="96" t="s">
        <v>65</v>
      </c>
    </row>
    <row r="5" spans="1:4" x14ac:dyDescent="0.25">
      <c r="B5" t="s">
        <v>66</v>
      </c>
    </row>
    <row r="6" spans="1:4" x14ac:dyDescent="0.25">
      <c r="B6" t="s">
        <v>67</v>
      </c>
    </row>
    <row r="7" spans="1:4" x14ac:dyDescent="0.25">
      <c r="B7" t="s">
        <v>68</v>
      </c>
    </row>
    <row r="9" spans="1:4" x14ac:dyDescent="0.25">
      <c r="A9" s="96" t="s">
        <v>69</v>
      </c>
    </row>
    <row r="10" spans="1:4" x14ac:dyDescent="0.25">
      <c r="B10" t="s">
        <v>70</v>
      </c>
    </row>
    <row r="12" spans="1:4" x14ac:dyDescent="0.25">
      <c r="A12" s="96" t="s">
        <v>71</v>
      </c>
    </row>
    <row r="13" spans="1:4" x14ac:dyDescent="0.25">
      <c r="B13" t="s">
        <v>72</v>
      </c>
      <c r="C13" t="s">
        <v>79</v>
      </c>
    </row>
    <row r="14" spans="1:4" x14ac:dyDescent="0.25">
      <c r="B14" t="s">
        <v>73</v>
      </c>
      <c r="C14" t="s">
        <v>80</v>
      </c>
    </row>
    <row r="15" spans="1:4" x14ac:dyDescent="0.25">
      <c r="B15" t="s">
        <v>74</v>
      </c>
      <c r="C15" t="s">
        <v>77</v>
      </c>
    </row>
    <row r="16" spans="1:4" x14ac:dyDescent="0.25">
      <c r="B16" t="s">
        <v>75</v>
      </c>
      <c r="C16" t="s">
        <v>78</v>
      </c>
    </row>
    <row r="18" spans="1:2" x14ac:dyDescent="0.25">
      <c r="A18" s="96" t="s">
        <v>82</v>
      </c>
    </row>
    <row r="19" spans="1:2" x14ac:dyDescent="0.25">
      <c r="B19" t="s">
        <v>83</v>
      </c>
    </row>
    <row r="21" spans="1:2" x14ac:dyDescent="0.25">
      <c r="A21" s="96" t="s">
        <v>81</v>
      </c>
    </row>
    <row r="22" spans="1:2" x14ac:dyDescent="0.25">
      <c r="B22" s="96" t="s">
        <v>76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08"/>
  <sheetViews>
    <sheetView topLeftCell="K1" workbookViewId="0">
      <selection activeCell="AC3" sqref="AC3:AC1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1" width="8.875" style="1" customWidth="1"/>
    <col min="12" max="12" width="2.875" style="1" customWidth="1"/>
    <col min="13" max="13" width="9.875" style="1" customWidth="1"/>
    <col min="14" max="16" width="6.875" style="1" customWidth="1"/>
    <col min="17" max="20" width="8.875" style="1" customWidth="1"/>
    <col min="21" max="21" width="2.875" style="1" customWidth="1"/>
    <col min="22" max="28" width="8.875" style="1" customWidth="1"/>
    <col min="29" max="16384" width="10.875" style="1"/>
  </cols>
  <sheetData>
    <row r="1" spans="1:29" ht="12.75" thickBot="1" x14ac:dyDescent="0.25">
      <c r="D1" s="87" t="s">
        <v>29</v>
      </c>
      <c r="E1" s="88"/>
      <c r="F1" s="88"/>
      <c r="G1" s="88"/>
      <c r="H1" s="88"/>
      <c r="I1" s="88"/>
      <c r="J1" s="88"/>
      <c r="K1" s="89"/>
      <c r="M1" s="87" t="s">
        <v>30</v>
      </c>
      <c r="N1" s="88"/>
      <c r="O1" s="88"/>
      <c r="P1" s="88"/>
      <c r="Q1" s="88"/>
      <c r="R1" s="88"/>
      <c r="S1" s="88"/>
      <c r="T1" s="89"/>
      <c r="U1" s="2"/>
      <c r="V1" s="87" t="s">
        <v>41</v>
      </c>
      <c r="W1" s="88"/>
      <c r="X1" s="89"/>
      <c r="Y1" s="50"/>
      <c r="Z1" s="87" t="s">
        <v>42</v>
      </c>
      <c r="AA1" s="88"/>
      <c r="AB1" s="89"/>
    </row>
    <row r="2" spans="1:29" ht="12.75" thickBot="1" x14ac:dyDescent="0.25">
      <c r="A2" s="3"/>
      <c r="B2" s="4"/>
      <c r="C2" s="5" t="s">
        <v>1</v>
      </c>
      <c r="D2" s="6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" t="s">
        <v>43</v>
      </c>
      <c r="K2" s="8" t="s">
        <v>37</v>
      </c>
      <c r="L2" s="2"/>
      <c r="M2" s="6" t="s">
        <v>31</v>
      </c>
      <c r="N2" s="7" t="s">
        <v>32</v>
      </c>
      <c r="O2" s="7" t="s">
        <v>33</v>
      </c>
      <c r="P2" s="7" t="s">
        <v>34</v>
      </c>
      <c r="Q2" s="7" t="s">
        <v>35</v>
      </c>
      <c r="R2" s="7" t="s">
        <v>36</v>
      </c>
      <c r="S2" s="7" t="s">
        <v>43</v>
      </c>
      <c r="T2" s="8" t="s">
        <v>37</v>
      </c>
      <c r="U2" s="9"/>
      <c r="V2" s="6" t="s">
        <v>38</v>
      </c>
      <c r="W2" s="7" t="s">
        <v>39</v>
      </c>
      <c r="X2" s="8" t="s">
        <v>40</v>
      </c>
      <c r="Y2" s="11" t="s">
        <v>44</v>
      </c>
      <c r="Z2" s="10" t="s">
        <v>38</v>
      </c>
      <c r="AA2" s="11" t="s">
        <v>39</v>
      </c>
      <c r="AB2" s="12" t="s">
        <v>40</v>
      </c>
      <c r="AC2" s="1" t="s">
        <v>58</v>
      </c>
    </row>
    <row r="3" spans="1:29" x14ac:dyDescent="0.2">
      <c r="A3" s="13" t="s">
        <v>2</v>
      </c>
      <c r="B3" s="13" t="s">
        <v>55</v>
      </c>
      <c r="C3" s="13">
        <v>22</v>
      </c>
      <c r="D3" s="90">
        <v>7116.75</v>
      </c>
      <c r="E3" s="91">
        <v>48.645000000000003</v>
      </c>
      <c r="F3" s="91">
        <v>51.298999999999999</v>
      </c>
      <c r="G3" s="91">
        <v>51.435000000000002</v>
      </c>
      <c r="H3" s="91">
        <v>9.67</v>
      </c>
      <c r="I3" s="15"/>
      <c r="J3" s="15">
        <f>(6*E3+F3+G3)/8</f>
        <v>49.325499999999998</v>
      </c>
      <c r="K3" s="16">
        <f>H3/3600</f>
        <v>2.6861111111111109E-3</v>
      </c>
      <c r="M3" s="90">
        <v>6408.13</v>
      </c>
      <c r="N3" s="91">
        <v>49.738</v>
      </c>
      <c r="O3" s="91">
        <v>51.631999999999998</v>
      </c>
      <c r="P3" s="91">
        <v>51.814</v>
      </c>
      <c r="Q3" s="91">
        <v>2.99</v>
      </c>
      <c r="R3" s="18"/>
      <c r="S3" s="18">
        <f>(6*N3+O3+P3)/8</f>
        <v>50.234250000000003</v>
      </c>
      <c r="T3" s="19">
        <f>Q3/3600</f>
        <v>8.3055555555555563E-4</v>
      </c>
      <c r="U3" s="20"/>
      <c r="V3" s="21">
        <f>bdrate($D3:$D6,E3:E6,$M3:$M6,N3:N6)</f>
        <v>-0.27113658640654192</v>
      </c>
      <c r="W3" s="22">
        <f>bdrate($D3:$D6,F3:F6,$M3:$M6,O3:O6)</f>
        <v>-0.1733214732777304</v>
      </c>
      <c r="X3" s="23">
        <f>bdrate($D3:$D6,G3:G6,$M3:$M6,P3:P6)</f>
        <v>-0.17680928086868952</v>
      </c>
      <c r="Y3" s="22">
        <f>bdrate(D3:D6,J3:J6,M3:M6,S3:S6)</f>
        <v>-0.254555617336507</v>
      </c>
      <c r="Z3" s="21">
        <f>bdrateOld($D3:$D6,E3:E6,$M3:$M6,N3:N6)</f>
        <v>-0.27089747827920341</v>
      </c>
      <c r="AA3" s="22">
        <f>bdrateOld($D3:$D6,F3:F6,$M3:$M6,O3:O6)</f>
        <v>-0.17323044763759998</v>
      </c>
      <c r="AB3" s="23">
        <f>bdrateOld($D3:$D6,G3:G6,$M3:$M6,P3:P6)</f>
        <v>-0.17670096305299132</v>
      </c>
      <c r="AC3" s="1">
        <f>H3/Q3</f>
        <v>3.2341137123745818</v>
      </c>
    </row>
    <row r="4" spans="1:29" x14ac:dyDescent="0.2">
      <c r="A4" s="24" t="s">
        <v>54</v>
      </c>
      <c r="B4" s="24"/>
      <c r="C4" s="24">
        <v>27</v>
      </c>
      <c r="D4" s="92">
        <v>4603.07</v>
      </c>
      <c r="E4" s="93">
        <v>45.527999999999999</v>
      </c>
      <c r="F4" s="93">
        <v>49.639000000000003</v>
      </c>
      <c r="G4" s="93">
        <v>49.79</v>
      </c>
      <c r="H4" s="93">
        <v>13.17</v>
      </c>
      <c r="I4" s="26"/>
      <c r="J4" s="26">
        <f t="shared" ref="J4:J67" si="0">(6*E4+F4+G4)/8</f>
        <v>46.574625000000005</v>
      </c>
      <c r="K4" s="27">
        <f>H4/3600</f>
        <v>3.6583333333333333E-3</v>
      </c>
      <c r="M4" s="92">
        <v>4131.66</v>
      </c>
      <c r="N4" s="93">
        <v>46.932000000000002</v>
      </c>
      <c r="O4" s="93">
        <v>49.716000000000001</v>
      </c>
      <c r="P4" s="93">
        <v>49.886000000000003</v>
      </c>
      <c r="Q4" s="93">
        <v>3.2</v>
      </c>
      <c r="R4" s="29"/>
      <c r="S4" s="29">
        <f t="shared" ref="S4:S67" si="1">(6*N4+O4+P4)/8</f>
        <v>47.649250000000002</v>
      </c>
      <c r="T4" s="30">
        <f>Q4/3600</f>
        <v>8.8888888888888893E-4</v>
      </c>
      <c r="U4" s="20"/>
      <c r="V4" s="31"/>
      <c r="W4" s="32"/>
      <c r="X4" s="33"/>
      <c r="Y4" s="32"/>
      <c r="Z4" s="31"/>
      <c r="AA4" s="32"/>
      <c r="AB4" s="33"/>
      <c r="AC4" s="86">
        <f t="shared" ref="AC4:AC10" si="2">H4/Q4</f>
        <v>4.1156249999999996</v>
      </c>
    </row>
    <row r="5" spans="1:29" x14ac:dyDescent="0.2">
      <c r="A5" s="24" t="s">
        <v>57</v>
      </c>
      <c r="B5" s="24"/>
      <c r="C5" s="24">
        <v>32</v>
      </c>
      <c r="D5" s="92">
        <v>2967.71</v>
      </c>
      <c r="E5" s="93">
        <v>42.32</v>
      </c>
      <c r="F5" s="93">
        <v>47.064</v>
      </c>
      <c r="G5" s="93">
        <v>47.197000000000003</v>
      </c>
      <c r="H5" s="93">
        <v>17.39</v>
      </c>
      <c r="I5" s="26"/>
      <c r="J5" s="26">
        <f t="shared" si="0"/>
        <v>43.522625000000005</v>
      </c>
      <c r="K5" s="27">
        <f>H5/3600</f>
        <v>4.8305555555555558E-3</v>
      </c>
      <c r="M5" s="92">
        <v>2559.83</v>
      </c>
      <c r="N5" s="93">
        <v>43.59</v>
      </c>
      <c r="O5" s="93">
        <v>47.447000000000003</v>
      </c>
      <c r="P5" s="93">
        <v>47.598999999999997</v>
      </c>
      <c r="Q5" s="93">
        <v>3.28</v>
      </c>
      <c r="R5" s="29"/>
      <c r="S5" s="29">
        <f t="shared" si="1"/>
        <v>44.573250000000002</v>
      </c>
      <c r="T5" s="30">
        <f>Q5/3600</f>
        <v>9.1111111111111102E-4</v>
      </c>
      <c r="U5" s="20"/>
      <c r="V5" s="31"/>
      <c r="W5" s="32"/>
      <c r="X5" s="33"/>
      <c r="Y5" s="32"/>
      <c r="Z5" s="31"/>
      <c r="AA5" s="32"/>
      <c r="AB5" s="33"/>
      <c r="AC5" s="86">
        <f t="shared" si="2"/>
        <v>5.3018292682926838</v>
      </c>
    </row>
    <row r="6" spans="1:29" ht="12.75" thickBot="1" x14ac:dyDescent="0.25">
      <c r="A6" s="24"/>
      <c r="B6" s="34"/>
      <c r="C6" s="34">
        <v>37</v>
      </c>
      <c r="D6" s="94">
        <v>1943.57</v>
      </c>
      <c r="E6" s="95">
        <v>38.94</v>
      </c>
      <c r="F6" s="95">
        <v>45.067</v>
      </c>
      <c r="G6" s="95">
        <v>45.18</v>
      </c>
      <c r="H6" s="95">
        <v>22.76</v>
      </c>
      <c r="I6" s="36"/>
      <c r="J6" s="36">
        <f t="shared" si="0"/>
        <v>40.485875</v>
      </c>
      <c r="K6" s="37">
        <f>H6/3600</f>
        <v>6.322222222222223E-3</v>
      </c>
      <c r="M6" s="94">
        <v>1577.13</v>
      </c>
      <c r="N6" s="95">
        <v>40.094999999999999</v>
      </c>
      <c r="O6" s="95">
        <v>45.460999999999999</v>
      </c>
      <c r="P6" s="95">
        <v>45.582000000000001</v>
      </c>
      <c r="Q6" s="95">
        <v>3.42</v>
      </c>
      <c r="R6" s="39"/>
      <c r="S6" s="39">
        <f t="shared" si="1"/>
        <v>41.451625</v>
      </c>
      <c r="T6" s="40">
        <f>Q6/3600</f>
        <v>9.5E-4</v>
      </c>
      <c r="U6" s="20"/>
      <c r="V6" s="41"/>
      <c r="W6" s="42"/>
      <c r="X6" s="43"/>
      <c r="Y6" s="42"/>
      <c r="Z6" s="41"/>
      <c r="AA6" s="42"/>
      <c r="AB6" s="43"/>
      <c r="AC6" s="86">
        <f t="shared" si="2"/>
        <v>6.654970760233919</v>
      </c>
    </row>
    <row r="7" spans="1:29" x14ac:dyDescent="0.2">
      <c r="A7" s="24"/>
      <c r="B7" s="13" t="s">
        <v>56</v>
      </c>
      <c r="C7" s="13">
        <v>22</v>
      </c>
      <c r="D7" s="14">
        <v>463.74</v>
      </c>
      <c r="E7" s="15">
        <v>46.088999999999999</v>
      </c>
      <c r="F7" s="15">
        <v>49.899000000000001</v>
      </c>
      <c r="G7" s="15">
        <v>50.048000000000002</v>
      </c>
      <c r="H7" s="15">
        <v>29.28</v>
      </c>
      <c r="I7" s="15"/>
      <c r="J7" s="15">
        <f t="shared" si="0"/>
        <v>47.060124999999999</v>
      </c>
      <c r="K7" s="16">
        <f t="shared" ref="K7:K71" si="3">H7/3600</f>
        <v>8.1333333333333344E-3</v>
      </c>
      <c r="M7" s="17">
        <v>335.91</v>
      </c>
      <c r="N7" s="18">
        <v>45.933</v>
      </c>
      <c r="O7" s="18">
        <v>49.082999999999998</v>
      </c>
      <c r="P7" s="18">
        <v>49.241999999999997</v>
      </c>
      <c r="Q7" s="18">
        <v>7.59</v>
      </c>
      <c r="R7" s="18"/>
      <c r="S7" s="18">
        <f t="shared" si="1"/>
        <v>46.740375000000007</v>
      </c>
      <c r="T7" s="19">
        <f t="shared" ref="T7:T71" si="4">Q7/3600</f>
        <v>2.1083333333333332E-3</v>
      </c>
      <c r="U7" s="20"/>
      <c r="V7" s="21">
        <f>bdrate($D7:$D10,E7:E10,$M7:$M10,N7:N10)</f>
        <v>-0.28750404860269207</v>
      </c>
      <c r="W7" s="22">
        <f>bdrate($D7:$D10,F7:F10,$M7:$M10,O7:O10)</f>
        <v>-0.13147192438114108</v>
      </c>
      <c r="X7" s="22">
        <f>bdrate($D7:$D10,G7:G10,$M7:$M10,P7:P10)</f>
        <v>-9.7299730665216799E-2</v>
      </c>
      <c r="Y7" s="22">
        <f>bdrate(D7:D10,J7:J10,M7:M10,S7:S10)</f>
        <v>-0.26111181924029758</v>
      </c>
      <c r="Z7" s="44">
        <f>bdrateOld($D7:$D10,E7:E10,$M7:$M10,N7:N10)</f>
        <v>-0.2879643131473314</v>
      </c>
      <c r="AA7" s="45">
        <f>bdrateOld($D7:$D10,F7:F10,$M7:$M10,O7:O10)</f>
        <v>-0.13641509259693319</v>
      </c>
      <c r="AB7" s="46">
        <f>bdrateOld($D7:$D10,G7:G10,$M7:$M10,P7:P10)</f>
        <v>-0.10263878432221318</v>
      </c>
      <c r="AC7" s="86">
        <f t="shared" si="2"/>
        <v>3.8577075098814233</v>
      </c>
    </row>
    <row r="8" spans="1:29" x14ac:dyDescent="0.2">
      <c r="A8" s="24"/>
      <c r="B8" s="24"/>
      <c r="C8" s="24">
        <v>27</v>
      </c>
      <c r="D8" s="25">
        <v>246.26</v>
      </c>
      <c r="E8" s="26">
        <v>43.188000000000002</v>
      </c>
      <c r="F8" s="26">
        <v>47.988999999999997</v>
      </c>
      <c r="G8" s="26">
        <v>48.201999999999998</v>
      </c>
      <c r="H8" s="26">
        <v>36.630000000000003</v>
      </c>
      <c r="I8" s="26"/>
      <c r="J8" s="26">
        <f t="shared" si="0"/>
        <v>44.414875000000002</v>
      </c>
      <c r="K8" s="27">
        <f t="shared" si="3"/>
        <v>1.0175E-2</v>
      </c>
      <c r="M8" s="28">
        <v>165.81</v>
      </c>
      <c r="N8" s="29">
        <v>42.671999999999997</v>
      </c>
      <c r="O8" s="29">
        <v>46.970999999999997</v>
      </c>
      <c r="P8" s="29">
        <v>47.091000000000001</v>
      </c>
      <c r="Q8" s="29">
        <v>8.94</v>
      </c>
      <c r="R8" s="29"/>
      <c r="S8" s="29">
        <f t="shared" si="1"/>
        <v>43.761749999999999</v>
      </c>
      <c r="T8" s="30">
        <f t="shared" si="4"/>
        <v>2.4833333333333331E-3</v>
      </c>
      <c r="U8" s="20"/>
      <c r="V8" s="31"/>
      <c r="W8" s="32"/>
      <c r="X8" s="32"/>
      <c r="Y8" s="32"/>
      <c r="Z8" s="31"/>
      <c r="AA8" s="32"/>
      <c r="AB8" s="33"/>
      <c r="AC8" s="86">
        <f t="shared" si="2"/>
        <v>4.0973154362416109</v>
      </c>
    </row>
    <row r="9" spans="1:29" x14ac:dyDescent="0.2">
      <c r="A9" s="24"/>
      <c r="B9" s="24"/>
      <c r="C9" s="24">
        <v>32</v>
      </c>
      <c r="D9" s="25">
        <v>141.69999999999999</v>
      </c>
      <c r="E9" s="26">
        <v>39.927</v>
      </c>
      <c r="F9" s="26">
        <v>45.924999999999997</v>
      </c>
      <c r="G9" s="26">
        <v>46.134</v>
      </c>
      <c r="H9" s="26">
        <v>48.34</v>
      </c>
      <c r="I9" s="26"/>
      <c r="J9" s="26">
        <f t="shared" si="0"/>
        <v>41.452625000000005</v>
      </c>
      <c r="K9" s="27">
        <f t="shared" si="3"/>
        <v>1.3427777777777778E-2</v>
      </c>
      <c r="M9" s="28">
        <v>83.15</v>
      </c>
      <c r="N9" s="29">
        <v>38.887999999999998</v>
      </c>
      <c r="O9" s="29">
        <v>44.573999999999998</v>
      </c>
      <c r="P9" s="29">
        <v>44.652000000000001</v>
      </c>
      <c r="Q9" s="29">
        <v>10.54</v>
      </c>
      <c r="R9" s="29"/>
      <c r="S9" s="29">
        <f t="shared" si="1"/>
        <v>40.319249999999997</v>
      </c>
      <c r="T9" s="30">
        <f t="shared" si="4"/>
        <v>2.9277777777777774E-3</v>
      </c>
      <c r="U9" s="20"/>
      <c r="V9" s="31"/>
      <c r="W9" s="47"/>
      <c r="X9" s="32"/>
      <c r="Y9" s="32"/>
      <c r="Z9" s="31"/>
      <c r="AA9" s="32"/>
      <c r="AB9" s="33"/>
      <c r="AC9" s="86">
        <f t="shared" si="2"/>
        <v>4.5863377609108165</v>
      </c>
    </row>
    <row r="10" spans="1:29" ht="12.75" thickBot="1" x14ac:dyDescent="0.25">
      <c r="A10" s="24"/>
      <c r="B10" s="34"/>
      <c r="C10" s="34">
        <v>37</v>
      </c>
      <c r="D10" s="35">
        <v>87.58</v>
      </c>
      <c r="E10" s="36">
        <v>36.454000000000001</v>
      </c>
      <c r="F10" s="36">
        <v>43.762999999999998</v>
      </c>
      <c r="G10" s="36">
        <v>44.045000000000002</v>
      </c>
      <c r="H10" s="36">
        <v>60.4</v>
      </c>
      <c r="I10" s="36"/>
      <c r="J10" s="36">
        <f t="shared" si="0"/>
        <v>38.316499999999998</v>
      </c>
      <c r="K10" s="37">
        <f t="shared" si="3"/>
        <v>1.6777777777777777E-2</v>
      </c>
      <c r="M10" s="38">
        <v>48.46</v>
      </c>
      <c r="N10" s="39">
        <v>35.633000000000003</v>
      </c>
      <c r="O10" s="39">
        <v>43.591000000000001</v>
      </c>
      <c r="P10" s="39">
        <v>43.496000000000002</v>
      </c>
      <c r="Q10" s="39">
        <v>12.3</v>
      </c>
      <c r="R10" s="39"/>
      <c r="S10" s="39">
        <f t="shared" si="1"/>
        <v>37.610624999999999</v>
      </c>
      <c r="T10" s="40">
        <f t="shared" si="4"/>
        <v>3.4166666666666668E-3</v>
      </c>
      <c r="U10" s="20"/>
      <c r="V10" s="41"/>
      <c r="W10" s="42"/>
      <c r="X10" s="42"/>
      <c r="Y10" s="42"/>
      <c r="Z10" s="41"/>
      <c r="AA10" s="42"/>
      <c r="AB10" s="43"/>
      <c r="AC10" s="86">
        <f t="shared" si="2"/>
        <v>4.9105691056910565</v>
      </c>
    </row>
    <row r="11" spans="1:29" x14ac:dyDescent="0.2">
      <c r="A11" s="24"/>
      <c r="B11" s="13" t="s">
        <v>0</v>
      </c>
      <c r="C11" s="13">
        <v>22</v>
      </c>
      <c r="D11" s="14"/>
      <c r="E11" s="15"/>
      <c r="F11" s="15"/>
      <c r="G11" s="15"/>
      <c r="H11" s="15"/>
      <c r="I11" s="15"/>
      <c r="J11" s="15">
        <f t="shared" si="0"/>
        <v>0</v>
      </c>
      <c r="K11" s="16">
        <f t="shared" si="3"/>
        <v>0</v>
      </c>
      <c r="M11" s="17"/>
      <c r="N11" s="18"/>
      <c r="O11" s="18"/>
      <c r="P11" s="18"/>
      <c r="Q11" s="18"/>
      <c r="R11" s="18"/>
      <c r="S11" s="18">
        <f t="shared" si="1"/>
        <v>0</v>
      </c>
      <c r="T11" s="19">
        <f t="shared" si="4"/>
        <v>0</v>
      </c>
      <c r="U11" s="20"/>
      <c r="V11" s="21" t="e">
        <f>bdrate($D11:$D14,E11:E14,$M11:$M14,N11:N14)</f>
        <v>#VALUE!</v>
      </c>
      <c r="W11" s="22" t="e">
        <f>bdrate($D11:$D14,F11:F14,$M11:$M14,O11:O14)</f>
        <v>#VALUE!</v>
      </c>
      <c r="X11" s="22" t="e">
        <f>bdrate($D11:$D14,G11:G14,$M11:$M14,P11:P14)</f>
        <v>#VALUE!</v>
      </c>
      <c r="Y11" s="22" t="e">
        <f>bdrate(D11:D14,J11:J14,M11:M14,S11:S14)</f>
        <v>#VALUE!</v>
      </c>
      <c r="Z11" s="44" t="e">
        <f>bdrateOld($D11:$D14,E11:E14,$M11:$M14,N11:N14)</f>
        <v>#VALUE!</v>
      </c>
      <c r="AA11" s="45" t="e">
        <f>bdrateOld($D11:$D14,F11:F14,$M11:$M14,O11:O14)</f>
        <v>#VALUE!</v>
      </c>
      <c r="AB11" s="46" t="e">
        <f>bdrateOld($D11:$D14,G11:G14,$M11:$M14,P11:P14)</f>
        <v>#VALUE!</v>
      </c>
    </row>
    <row r="12" spans="1:29" x14ac:dyDescent="0.2">
      <c r="A12" s="24"/>
      <c r="B12" s="24"/>
      <c r="C12" s="24">
        <v>27</v>
      </c>
      <c r="D12" s="25"/>
      <c r="E12" s="26"/>
      <c r="F12" s="26"/>
      <c r="G12" s="26"/>
      <c r="H12" s="26"/>
      <c r="I12" s="26"/>
      <c r="J12" s="26">
        <f t="shared" si="0"/>
        <v>0</v>
      </c>
      <c r="K12" s="27">
        <f t="shared" si="3"/>
        <v>0</v>
      </c>
      <c r="M12" s="28"/>
      <c r="N12" s="29"/>
      <c r="O12" s="29"/>
      <c r="P12" s="29"/>
      <c r="Q12" s="29"/>
      <c r="R12" s="29"/>
      <c r="S12" s="29">
        <f t="shared" si="1"/>
        <v>0</v>
      </c>
      <c r="T12" s="30">
        <f t="shared" si="4"/>
        <v>0</v>
      </c>
      <c r="U12" s="20"/>
      <c r="V12" s="31"/>
      <c r="W12" s="32"/>
      <c r="X12" s="32"/>
      <c r="Y12" s="32"/>
      <c r="Z12" s="31"/>
      <c r="AA12" s="32"/>
      <c r="AB12" s="33"/>
    </row>
    <row r="13" spans="1:29" x14ac:dyDescent="0.2">
      <c r="A13" s="24"/>
      <c r="B13" s="24"/>
      <c r="C13" s="24">
        <v>32</v>
      </c>
      <c r="D13" s="25"/>
      <c r="E13" s="26"/>
      <c r="F13" s="26"/>
      <c r="G13" s="26"/>
      <c r="H13" s="26"/>
      <c r="I13" s="26"/>
      <c r="J13" s="26">
        <f t="shared" si="0"/>
        <v>0</v>
      </c>
      <c r="K13" s="27">
        <f t="shared" si="3"/>
        <v>0</v>
      </c>
      <c r="M13" s="28"/>
      <c r="N13" s="29"/>
      <c r="O13" s="29"/>
      <c r="P13" s="29"/>
      <c r="Q13" s="29"/>
      <c r="R13" s="29"/>
      <c r="S13" s="29">
        <f t="shared" si="1"/>
        <v>0</v>
      </c>
      <c r="T13" s="30">
        <f t="shared" si="4"/>
        <v>0</v>
      </c>
      <c r="U13" s="20"/>
      <c r="V13" s="31"/>
      <c r="W13" s="32"/>
      <c r="X13" s="32"/>
      <c r="Y13" s="32"/>
      <c r="Z13" s="31"/>
      <c r="AA13" s="32"/>
      <c r="AB13" s="33"/>
    </row>
    <row r="14" spans="1:29" ht="12.75" thickBot="1" x14ac:dyDescent="0.25">
      <c r="A14" s="24"/>
      <c r="B14" s="34"/>
      <c r="C14" s="34">
        <v>37</v>
      </c>
      <c r="D14" s="35"/>
      <c r="E14" s="36"/>
      <c r="F14" s="36"/>
      <c r="G14" s="36"/>
      <c r="H14" s="36"/>
      <c r="I14" s="36"/>
      <c r="J14" s="36">
        <f t="shared" si="0"/>
        <v>0</v>
      </c>
      <c r="K14" s="37">
        <f t="shared" si="3"/>
        <v>0</v>
      </c>
      <c r="M14" s="38"/>
      <c r="N14" s="39"/>
      <c r="O14" s="39"/>
      <c r="P14" s="39"/>
      <c r="Q14" s="39"/>
      <c r="R14" s="39"/>
      <c r="S14" s="39">
        <f t="shared" si="1"/>
        <v>0</v>
      </c>
      <c r="T14" s="40">
        <f t="shared" si="4"/>
        <v>0</v>
      </c>
      <c r="U14" s="20"/>
      <c r="V14" s="41"/>
      <c r="W14" s="42"/>
      <c r="X14" s="42"/>
      <c r="Y14" s="42"/>
      <c r="Z14" s="41"/>
      <c r="AA14" s="42"/>
      <c r="AB14" s="43"/>
    </row>
    <row r="15" spans="1:29" x14ac:dyDescent="0.2">
      <c r="A15" s="24"/>
      <c r="B15" s="13" t="s">
        <v>3</v>
      </c>
      <c r="C15" s="13">
        <v>22</v>
      </c>
      <c r="D15" s="14"/>
      <c r="E15" s="15"/>
      <c r="F15" s="15"/>
      <c r="G15" s="15"/>
      <c r="H15" s="15"/>
      <c r="I15" s="15"/>
      <c r="J15" s="15">
        <f t="shared" si="0"/>
        <v>0</v>
      </c>
      <c r="K15" s="16">
        <f t="shared" si="3"/>
        <v>0</v>
      </c>
      <c r="M15" s="17"/>
      <c r="N15" s="18"/>
      <c r="O15" s="18"/>
      <c r="P15" s="18"/>
      <c r="Q15" s="18"/>
      <c r="R15" s="18"/>
      <c r="S15" s="18">
        <f t="shared" si="1"/>
        <v>0</v>
      </c>
      <c r="T15" s="19">
        <f t="shared" si="4"/>
        <v>0</v>
      </c>
      <c r="U15" s="20"/>
      <c r="V15" s="21" t="e">
        <f>bdrate($D15:$D18,E15:E18,$M15:$M18,N15:N18)</f>
        <v>#VALUE!</v>
      </c>
      <c r="W15" s="22" t="e">
        <f>bdrate($D15:$D18,F15:F18,$M15:$M18,O15:O18)</f>
        <v>#VALUE!</v>
      </c>
      <c r="X15" s="22" t="e">
        <f>bdrate($D15:$D18,G15:G18,$M15:$M18,P15:P18)</f>
        <v>#VALUE!</v>
      </c>
      <c r="Y15" s="22" t="e">
        <f>bdrate(D15:D18,J15:J18,M15:M18,S15:S18)</f>
        <v>#VALUE!</v>
      </c>
      <c r="Z15" s="44" t="e">
        <f>bdrateOld($D15:$D18,E15:E18,$M15:$M18,N15:N18)</f>
        <v>#VALUE!</v>
      </c>
      <c r="AA15" s="45" t="e">
        <f>bdrateOld($D15:$D18,F15:F18,$M15:$M18,O15:O18)</f>
        <v>#VALUE!</v>
      </c>
      <c r="AB15" s="46" t="e">
        <f>bdrateOld($D15:$D18,G15:G18,$M15:$M18,P15:P18)</f>
        <v>#VALUE!</v>
      </c>
    </row>
    <row r="16" spans="1:29" x14ac:dyDescent="0.2">
      <c r="A16" s="24"/>
      <c r="B16" s="24"/>
      <c r="C16" s="24">
        <v>27</v>
      </c>
      <c r="D16" s="25"/>
      <c r="E16" s="26"/>
      <c r="F16" s="26"/>
      <c r="G16" s="26"/>
      <c r="H16" s="26"/>
      <c r="I16" s="26"/>
      <c r="J16" s="26">
        <f t="shared" si="0"/>
        <v>0</v>
      </c>
      <c r="K16" s="27">
        <f t="shared" si="3"/>
        <v>0</v>
      </c>
      <c r="M16" s="28"/>
      <c r="N16" s="29"/>
      <c r="O16" s="29"/>
      <c r="P16" s="29"/>
      <c r="Q16" s="29"/>
      <c r="R16" s="29"/>
      <c r="S16" s="29">
        <f t="shared" si="1"/>
        <v>0</v>
      </c>
      <c r="T16" s="30">
        <f t="shared" si="4"/>
        <v>0</v>
      </c>
      <c r="U16" s="20"/>
      <c r="V16" s="31"/>
      <c r="W16" s="32"/>
      <c r="X16" s="32"/>
      <c r="Y16" s="32"/>
      <c r="Z16" s="31"/>
      <c r="AA16" s="32"/>
      <c r="AB16" s="33"/>
    </row>
    <row r="17" spans="1:28" x14ac:dyDescent="0.2">
      <c r="A17" s="24"/>
      <c r="B17" s="24"/>
      <c r="C17" s="24">
        <v>32</v>
      </c>
      <c r="D17" s="25"/>
      <c r="E17" s="26"/>
      <c r="F17" s="26"/>
      <c r="G17" s="26"/>
      <c r="H17" s="26"/>
      <c r="I17" s="26"/>
      <c r="J17" s="26">
        <f t="shared" si="0"/>
        <v>0</v>
      </c>
      <c r="K17" s="27">
        <f t="shared" si="3"/>
        <v>0</v>
      </c>
      <c r="M17" s="28"/>
      <c r="N17" s="29"/>
      <c r="O17" s="29"/>
      <c r="P17" s="29"/>
      <c r="Q17" s="29"/>
      <c r="R17" s="29"/>
      <c r="S17" s="29">
        <f t="shared" si="1"/>
        <v>0</v>
      </c>
      <c r="T17" s="30">
        <f t="shared" si="4"/>
        <v>0</v>
      </c>
      <c r="U17" s="20"/>
      <c r="V17" s="31"/>
      <c r="W17" s="32"/>
      <c r="X17" s="32"/>
      <c r="Y17" s="32"/>
      <c r="Z17" s="31"/>
      <c r="AA17" s="32"/>
      <c r="AB17" s="33"/>
    </row>
    <row r="18" spans="1:28" ht="12.75" thickBot="1" x14ac:dyDescent="0.25">
      <c r="A18" s="34"/>
      <c r="B18" s="34"/>
      <c r="C18" s="34">
        <v>37</v>
      </c>
      <c r="D18" s="35"/>
      <c r="E18" s="36"/>
      <c r="F18" s="36"/>
      <c r="G18" s="36"/>
      <c r="H18" s="36"/>
      <c r="I18" s="36"/>
      <c r="J18" s="36">
        <f t="shared" si="0"/>
        <v>0</v>
      </c>
      <c r="K18" s="37">
        <f t="shared" si="3"/>
        <v>0</v>
      </c>
      <c r="M18" s="38"/>
      <c r="N18" s="39"/>
      <c r="O18" s="39"/>
      <c r="P18" s="39"/>
      <c r="Q18" s="39"/>
      <c r="R18" s="39"/>
      <c r="S18" s="39">
        <f t="shared" si="1"/>
        <v>0</v>
      </c>
      <c r="T18" s="40">
        <f t="shared" si="4"/>
        <v>0</v>
      </c>
      <c r="U18" s="20"/>
      <c r="V18" s="41"/>
      <c r="W18" s="42"/>
      <c r="X18" s="42"/>
      <c r="Y18" s="42"/>
      <c r="Z18" s="41"/>
      <c r="AA18" s="42"/>
      <c r="AB18" s="43"/>
    </row>
    <row r="19" spans="1:28" x14ac:dyDescent="0.2">
      <c r="A19" s="13" t="s">
        <v>4</v>
      </c>
      <c r="B19" s="13" t="s">
        <v>5</v>
      </c>
      <c r="C19" s="13">
        <v>22</v>
      </c>
      <c r="D19" s="14"/>
      <c r="E19" s="15"/>
      <c r="F19" s="15"/>
      <c r="G19" s="15"/>
      <c r="H19" s="15"/>
      <c r="I19" s="15"/>
      <c r="J19" s="15">
        <f t="shared" si="0"/>
        <v>0</v>
      </c>
      <c r="K19" s="16">
        <f t="shared" si="3"/>
        <v>0</v>
      </c>
      <c r="M19" s="51"/>
      <c r="N19" s="52"/>
      <c r="O19" s="52"/>
      <c r="P19" s="52"/>
      <c r="Q19" s="52"/>
      <c r="R19" s="52"/>
      <c r="S19" s="15">
        <f t="shared" si="1"/>
        <v>0</v>
      </c>
      <c r="T19" s="16">
        <f t="shared" si="4"/>
        <v>0</v>
      </c>
      <c r="U19" s="20"/>
      <c r="V19" s="21" t="e">
        <f>bdrate($D19:$D22,E19:E22,$M19:$M22,N19:N22)</f>
        <v>#VALUE!</v>
      </c>
      <c r="W19" s="22" t="e">
        <f>bdrate($D19:$D22,F19:F22,$M19:$M22,O19:O22)</f>
        <v>#VALUE!</v>
      </c>
      <c r="X19" s="22" t="e">
        <f>bdrate($D19:$D22,G19:G22,$M19:$M22,P19:P22)</f>
        <v>#VALUE!</v>
      </c>
      <c r="Y19" s="22" t="e">
        <f>bdrate(D19:D22,J19:J22,M19:M22,S19:S22)</f>
        <v>#VALUE!</v>
      </c>
      <c r="Z19" s="44" t="e">
        <f>bdrateOld($D19:$D22,E19:E22,$M19:$M22,N19:N22)</f>
        <v>#VALUE!</v>
      </c>
      <c r="AA19" s="45" t="e">
        <f>bdrateOld($D19:$D22,F19:F22,$M19:$M22,O19:O22)</f>
        <v>#VALUE!</v>
      </c>
      <c r="AB19" s="46" t="e">
        <f>bdrateOld($D19:$D22,G19:G22,$M19:$M22,P19:P22)</f>
        <v>#VALUE!</v>
      </c>
    </row>
    <row r="20" spans="1:28" x14ac:dyDescent="0.2">
      <c r="A20" s="24" t="s">
        <v>6</v>
      </c>
      <c r="B20" s="24"/>
      <c r="C20" s="24">
        <v>27</v>
      </c>
      <c r="D20" s="25"/>
      <c r="E20" s="26"/>
      <c r="F20" s="26"/>
      <c r="G20" s="26"/>
      <c r="H20" s="26"/>
      <c r="I20" s="26"/>
      <c r="J20" s="26">
        <f t="shared" si="0"/>
        <v>0</v>
      </c>
      <c r="K20" s="27">
        <f t="shared" si="3"/>
        <v>0</v>
      </c>
      <c r="M20" s="53"/>
      <c r="N20" s="54"/>
      <c r="O20" s="54"/>
      <c r="P20" s="54"/>
      <c r="Q20" s="54"/>
      <c r="R20" s="54"/>
      <c r="S20" s="26">
        <f t="shared" si="1"/>
        <v>0</v>
      </c>
      <c r="T20" s="27">
        <f t="shared" si="4"/>
        <v>0</v>
      </c>
      <c r="U20" s="20"/>
      <c r="V20" s="31"/>
      <c r="W20" s="32"/>
      <c r="X20" s="32"/>
      <c r="Y20" s="32"/>
      <c r="Z20" s="31"/>
      <c r="AA20" s="32"/>
      <c r="AB20" s="33"/>
    </row>
    <row r="21" spans="1:28" x14ac:dyDescent="0.2">
      <c r="A21" s="24"/>
      <c r="B21" s="24"/>
      <c r="C21" s="24">
        <v>32</v>
      </c>
      <c r="D21" s="25"/>
      <c r="E21" s="26"/>
      <c r="F21" s="26"/>
      <c r="G21" s="26"/>
      <c r="H21" s="26"/>
      <c r="I21" s="26"/>
      <c r="J21" s="26">
        <f t="shared" si="0"/>
        <v>0</v>
      </c>
      <c r="K21" s="27">
        <f t="shared" si="3"/>
        <v>0</v>
      </c>
      <c r="M21" s="53"/>
      <c r="N21" s="54"/>
      <c r="O21" s="54"/>
      <c r="P21" s="54"/>
      <c r="Q21" s="54"/>
      <c r="R21" s="54"/>
      <c r="S21" s="26">
        <f t="shared" si="1"/>
        <v>0</v>
      </c>
      <c r="T21" s="27">
        <f t="shared" si="4"/>
        <v>0</v>
      </c>
      <c r="U21" s="20"/>
      <c r="V21" s="31"/>
      <c r="W21" s="32"/>
      <c r="X21" s="32"/>
      <c r="Y21" s="32"/>
      <c r="Z21" s="31"/>
      <c r="AA21" s="32"/>
      <c r="AB21" s="33"/>
    </row>
    <row r="22" spans="1:28" ht="12.75" thickBot="1" x14ac:dyDescent="0.25">
      <c r="A22" s="24"/>
      <c r="B22" s="34"/>
      <c r="C22" s="34">
        <v>37</v>
      </c>
      <c r="D22" s="35"/>
      <c r="E22" s="36"/>
      <c r="F22" s="36"/>
      <c r="G22" s="36"/>
      <c r="H22" s="36"/>
      <c r="I22" s="36"/>
      <c r="J22" s="36">
        <f t="shared" si="0"/>
        <v>0</v>
      </c>
      <c r="K22" s="37">
        <f t="shared" si="3"/>
        <v>0</v>
      </c>
      <c r="M22" s="55"/>
      <c r="N22" s="56"/>
      <c r="O22" s="56"/>
      <c r="P22" s="56"/>
      <c r="Q22" s="56"/>
      <c r="R22" s="56"/>
      <c r="S22" s="36">
        <f t="shared" si="1"/>
        <v>0</v>
      </c>
      <c r="T22" s="37">
        <f t="shared" si="4"/>
        <v>0</v>
      </c>
      <c r="U22" s="20"/>
      <c r="V22" s="41"/>
      <c r="W22" s="42"/>
      <c r="X22" s="42"/>
      <c r="Y22" s="42"/>
      <c r="Z22" s="41"/>
      <c r="AA22" s="42"/>
      <c r="AB22" s="43"/>
    </row>
    <row r="23" spans="1:28" x14ac:dyDescent="0.2">
      <c r="A23" s="24"/>
      <c r="B23" s="13" t="s">
        <v>7</v>
      </c>
      <c r="C23" s="13">
        <v>22</v>
      </c>
      <c r="D23" s="14"/>
      <c r="E23" s="15"/>
      <c r="F23" s="15"/>
      <c r="G23" s="15"/>
      <c r="H23" s="15"/>
      <c r="I23" s="15"/>
      <c r="J23" s="15">
        <f t="shared" si="0"/>
        <v>0</v>
      </c>
      <c r="K23" s="16">
        <f t="shared" si="3"/>
        <v>0</v>
      </c>
      <c r="M23" s="51"/>
      <c r="N23" s="52"/>
      <c r="O23" s="52"/>
      <c r="P23" s="52"/>
      <c r="Q23" s="52"/>
      <c r="R23" s="52"/>
      <c r="S23" s="15">
        <f t="shared" si="1"/>
        <v>0</v>
      </c>
      <c r="T23" s="16">
        <f t="shared" si="4"/>
        <v>0</v>
      </c>
      <c r="U23" s="20"/>
      <c r="V23" s="21" t="e">
        <f>bdrate($D23:$D26,E23:E26,$M23:$M26,N23:N26)</f>
        <v>#VALUE!</v>
      </c>
      <c r="W23" s="22" t="e">
        <f>bdrate($D23:$D26,F23:F26,$M23:$M26,O23:O26)</f>
        <v>#VALUE!</v>
      </c>
      <c r="X23" s="22" t="e">
        <f>bdrate($D23:$D26,G23:G26,$M23:$M26,P23:P26)</f>
        <v>#VALUE!</v>
      </c>
      <c r="Y23" s="22" t="e">
        <f>bdrate(D23:D26,J23:J26,M23:M26,S23:S26)</f>
        <v>#VALUE!</v>
      </c>
      <c r="Z23" s="44" t="e">
        <f>bdrateOld($D23:$D26,E23:E26,$M23:$M26,N23:N26)</f>
        <v>#VALUE!</v>
      </c>
      <c r="AA23" s="45" t="e">
        <f>bdrateOld($D23:$D26,F23:F26,$M23:$M26,O23:O26)</f>
        <v>#VALUE!</v>
      </c>
      <c r="AB23" s="46" t="e">
        <f>bdrateOld($D23:$D26,G23:G26,$M23:$M26,P23:P26)</f>
        <v>#VALUE!</v>
      </c>
    </row>
    <row r="24" spans="1:28" x14ac:dyDescent="0.2">
      <c r="A24" s="24"/>
      <c r="B24" s="24"/>
      <c r="C24" s="24">
        <v>27</v>
      </c>
      <c r="D24" s="25"/>
      <c r="E24" s="26"/>
      <c r="F24" s="26"/>
      <c r="G24" s="26"/>
      <c r="H24" s="26"/>
      <c r="I24" s="26"/>
      <c r="J24" s="26">
        <f t="shared" si="0"/>
        <v>0</v>
      </c>
      <c r="K24" s="27">
        <f t="shared" si="3"/>
        <v>0</v>
      </c>
      <c r="M24" s="53"/>
      <c r="N24" s="54"/>
      <c r="O24" s="54"/>
      <c r="P24" s="54"/>
      <c r="Q24" s="54"/>
      <c r="R24" s="54"/>
      <c r="S24" s="26">
        <f t="shared" si="1"/>
        <v>0</v>
      </c>
      <c r="T24" s="27">
        <f t="shared" si="4"/>
        <v>0</v>
      </c>
      <c r="U24" s="20"/>
      <c r="V24" s="31"/>
      <c r="W24" s="32"/>
      <c r="X24" s="32"/>
      <c r="Y24" s="32"/>
      <c r="Z24" s="31"/>
      <c r="AA24" s="32"/>
      <c r="AB24" s="33"/>
    </row>
    <row r="25" spans="1:28" x14ac:dyDescent="0.2">
      <c r="A25" s="24"/>
      <c r="B25" s="24"/>
      <c r="C25" s="24">
        <v>32</v>
      </c>
      <c r="D25" s="25"/>
      <c r="E25" s="26"/>
      <c r="F25" s="26"/>
      <c r="G25" s="26"/>
      <c r="H25" s="26"/>
      <c r="I25" s="26"/>
      <c r="J25" s="26">
        <f t="shared" si="0"/>
        <v>0</v>
      </c>
      <c r="K25" s="27">
        <f t="shared" si="3"/>
        <v>0</v>
      </c>
      <c r="M25" s="53"/>
      <c r="N25" s="54"/>
      <c r="O25" s="54"/>
      <c r="P25" s="54"/>
      <c r="Q25" s="54"/>
      <c r="R25" s="54"/>
      <c r="S25" s="26">
        <f t="shared" si="1"/>
        <v>0</v>
      </c>
      <c r="T25" s="27">
        <f t="shared" si="4"/>
        <v>0</v>
      </c>
      <c r="U25" s="20"/>
      <c r="V25" s="31"/>
      <c r="W25" s="32"/>
      <c r="X25" s="32"/>
      <c r="Y25" s="32"/>
      <c r="Z25" s="31"/>
      <c r="AA25" s="32"/>
      <c r="AB25" s="33"/>
    </row>
    <row r="26" spans="1:28" ht="12.75" thickBot="1" x14ac:dyDescent="0.25">
      <c r="A26" s="24"/>
      <c r="B26" s="34"/>
      <c r="C26" s="34">
        <v>37</v>
      </c>
      <c r="D26" s="35"/>
      <c r="E26" s="36"/>
      <c r="F26" s="36"/>
      <c r="G26" s="36"/>
      <c r="H26" s="36"/>
      <c r="I26" s="36"/>
      <c r="J26" s="36">
        <f t="shared" si="0"/>
        <v>0</v>
      </c>
      <c r="K26" s="37">
        <f t="shared" si="3"/>
        <v>0</v>
      </c>
      <c r="M26" s="55"/>
      <c r="N26" s="56"/>
      <c r="O26" s="56"/>
      <c r="P26" s="56"/>
      <c r="Q26" s="56"/>
      <c r="R26" s="56"/>
      <c r="S26" s="36">
        <f t="shared" si="1"/>
        <v>0</v>
      </c>
      <c r="T26" s="37">
        <f t="shared" si="4"/>
        <v>0</v>
      </c>
      <c r="U26" s="20"/>
      <c r="V26" s="41"/>
      <c r="W26" s="42"/>
      <c r="X26" s="42"/>
      <c r="Y26" s="42"/>
      <c r="Z26" s="41"/>
      <c r="AA26" s="42"/>
      <c r="AB26" s="43"/>
    </row>
    <row r="27" spans="1:28" x14ac:dyDescent="0.2">
      <c r="A27" s="24"/>
      <c r="B27" s="13" t="s">
        <v>8</v>
      </c>
      <c r="C27" s="13">
        <v>22</v>
      </c>
      <c r="D27" s="14"/>
      <c r="E27" s="15"/>
      <c r="F27" s="15"/>
      <c r="G27" s="15"/>
      <c r="H27" s="15"/>
      <c r="I27" s="15"/>
      <c r="J27" s="15">
        <f t="shared" si="0"/>
        <v>0</v>
      </c>
      <c r="K27" s="16">
        <f t="shared" si="3"/>
        <v>0</v>
      </c>
      <c r="M27" s="51"/>
      <c r="N27" s="52"/>
      <c r="O27" s="52"/>
      <c r="P27" s="52"/>
      <c r="Q27" s="52"/>
      <c r="R27" s="52"/>
      <c r="S27" s="15">
        <f t="shared" si="1"/>
        <v>0</v>
      </c>
      <c r="T27" s="16">
        <f t="shared" si="4"/>
        <v>0</v>
      </c>
      <c r="U27" s="20"/>
      <c r="V27" s="21" t="e">
        <f>bdrate($D27:$D30,E27:E30,$M27:$M30,N27:N30)</f>
        <v>#VALUE!</v>
      </c>
      <c r="W27" s="22" t="e">
        <f>bdrate($D27:$D30,F27:F30,$M27:$M30,O27:O30)</f>
        <v>#VALUE!</v>
      </c>
      <c r="X27" s="22" t="e">
        <f>bdrate($D27:$D30,G27:G30,$M27:$M30,P27:P30)</f>
        <v>#VALUE!</v>
      </c>
      <c r="Y27" s="22" t="e">
        <f>bdrate(D27:D30,J27:J30,M27:M30,S27:S30)</f>
        <v>#VALUE!</v>
      </c>
      <c r="Z27" s="44" t="e">
        <f>bdrateOld($D27:$D30,E27:E30,$M27:$M30,N27:N30)</f>
        <v>#VALUE!</v>
      </c>
      <c r="AA27" s="45" t="e">
        <f>bdrateOld($D27:$D30,F27:F30,$M27:$M30,O27:O30)</f>
        <v>#VALUE!</v>
      </c>
      <c r="AB27" s="46" t="e">
        <f>bdrateOld($D27:$D30,G27:G30,$M27:$M30,P27:P30)</f>
        <v>#VALUE!</v>
      </c>
    </row>
    <row r="28" spans="1:28" x14ac:dyDescent="0.2">
      <c r="A28" s="24"/>
      <c r="B28" s="24"/>
      <c r="C28" s="24">
        <v>27</v>
      </c>
      <c r="D28" s="25"/>
      <c r="E28" s="26"/>
      <c r="F28" s="26"/>
      <c r="G28" s="26"/>
      <c r="H28" s="26"/>
      <c r="I28" s="26"/>
      <c r="J28" s="26">
        <f t="shared" si="0"/>
        <v>0</v>
      </c>
      <c r="K28" s="27">
        <f t="shared" si="3"/>
        <v>0</v>
      </c>
      <c r="M28" s="53"/>
      <c r="N28" s="54"/>
      <c r="O28" s="54"/>
      <c r="P28" s="54"/>
      <c r="Q28" s="54"/>
      <c r="R28" s="54"/>
      <c r="S28" s="26">
        <f t="shared" si="1"/>
        <v>0</v>
      </c>
      <c r="T28" s="27">
        <f t="shared" si="4"/>
        <v>0</v>
      </c>
      <c r="U28" s="20"/>
      <c r="V28" s="31"/>
      <c r="W28" s="32"/>
      <c r="X28" s="32"/>
      <c r="Y28" s="32"/>
      <c r="Z28" s="31"/>
      <c r="AA28" s="32"/>
      <c r="AB28" s="33"/>
    </row>
    <row r="29" spans="1:28" x14ac:dyDescent="0.2">
      <c r="A29" s="24"/>
      <c r="B29" s="24"/>
      <c r="C29" s="24">
        <v>32</v>
      </c>
      <c r="D29" s="25"/>
      <c r="E29" s="26"/>
      <c r="F29" s="26"/>
      <c r="G29" s="26"/>
      <c r="H29" s="26"/>
      <c r="I29" s="26"/>
      <c r="J29" s="26">
        <f t="shared" si="0"/>
        <v>0</v>
      </c>
      <c r="K29" s="27">
        <f t="shared" si="3"/>
        <v>0</v>
      </c>
      <c r="M29" s="53"/>
      <c r="N29" s="54"/>
      <c r="O29" s="54"/>
      <c r="P29" s="54"/>
      <c r="Q29" s="54"/>
      <c r="R29" s="54"/>
      <c r="S29" s="26">
        <f t="shared" si="1"/>
        <v>0</v>
      </c>
      <c r="T29" s="27">
        <f t="shared" si="4"/>
        <v>0</v>
      </c>
      <c r="U29" s="20"/>
      <c r="V29" s="31"/>
      <c r="W29" s="32"/>
      <c r="X29" s="32"/>
      <c r="Y29" s="32"/>
      <c r="Z29" s="31"/>
      <c r="AA29" s="32"/>
      <c r="AB29" s="33"/>
    </row>
    <row r="30" spans="1:28" ht="12.75" thickBot="1" x14ac:dyDescent="0.25">
      <c r="A30" s="24"/>
      <c r="B30" s="34"/>
      <c r="C30" s="34">
        <v>37</v>
      </c>
      <c r="D30" s="35"/>
      <c r="E30" s="36"/>
      <c r="F30" s="36"/>
      <c r="G30" s="36"/>
      <c r="H30" s="36"/>
      <c r="I30" s="36"/>
      <c r="J30" s="36">
        <f t="shared" si="0"/>
        <v>0</v>
      </c>
      <c r="K30" s="37">
        <f t="shared" si="3"/>
        <v>0</v>
      </c>
      <c r="M30" s="55"/>
      <c r="N30" s="56"/>
      <c r="O30" s="56"/>
      <c r="P30" s="56"/>
      <c r="Q30" s="56"/>
      <c r="R30" s="56"/>
      <c r="S30" s="36">
        <f t="shared" si="1"/>
        <v>0</v>
      </c>
      <c r="T30" s="37">
        <f t="shared" si="4"/>
        <v>0</v>
      </c>
      <c r="U30" s="20"/>
      <c r="V30" s="41"/>
      <c r="W30" s="42"/>
      <c r="X30" s="42"/>
      <c r="Y30" s="42"/>
      <c r="Z30" s="41"/>
      <c r="AA30" s="42"/>
      <c r="AB30" s="43"/>
    </row>
    <row r="31" spans="1:28" x14ac:dyDescent="0.2">
      <c r="A31" s="24"/>
      <c r="B31" s="13" t="s">
        <v>9</v>
      </c>
      <c r="C31" s="13">
        <v>22</v>
      </c>
      <c r="D31" s="14"/>
      <c r="E31" s="15"/>
      <c r="F31" s="15"/>
      <c r="G31" s="15"/>
      <c r="H31" s="15"/>
      <c r="I31" s="15"/>
      <c r="J31" s="15">
        <f t="shared" si="0"/>
        <v>0</v>
      </c>
      <c r="K31" s="16">
        <f t="shared" si="3"/>
        <v>0</v>
      </c>
      <c r="M31" s="51"/>
      <c r="N31" s="52"/>
      <c r="O31" s="52"/>
      <c r="P31" s="52"/>
      <c r="Q31" s="52"/>
      <c r="R31" s="52"/>
      <c r="S31" s="15">
        <f t="shared" si="1"/>
        <v>0</v>
      </c>
      <c r="T31" s="16">
        <f t="shared" si="4"/>
        <v>0</v>
      </c>
      <c r="U31" s="20"/>
      <c r="V31" s="21" t="e">
        <f>bdrate($D31:$D34,E31:E34,$M31:$M34,N31:N34)</f>
        <v>#VALUE!</v>
      </c>
      <c r="W31" s="22" t="e">
        <f>bdrate($D31:$D34,F31:F34,$M31:$M34,O31:O34)</f>
        <v>#VALUE!</v>
      </c>
      <c r="X31" s="22" t="e">
        <f>bdrate($D31:$D34,G31:G34,$M31:$M34,P31:P34)</f>
        <v>#VALUE!</v>
      </c>
      <c r="Y31" s="22" t="e">
        <f>bdrate(D31:D34,J31:J34,M31:M34,S31:S34)</f>
        <v>#VALUE!</v>
      </c>
      <c r="Z31" s="44" t="e">
        <f>bdrateOld($D31:$D34,E31:E34,$M31:$M34,N31:N34)</f>
        <v>#VALUE!</v>
      </c>
      <c r="AA31" s="45" t="e">
        <f>bdrateOld($D31:$D34,F31:F34,$M31:$M34,O31:O34)</f>
        <v>#VALUE!</v>
      </c>
      <c r="AB31" s="46" t="e">
        <f>bdrateOld($D31:$D34,G31:G34,$M31:$M34,P31:P34)</f>
        <v>#VALUE!</v>
      </c>
    </row>
    <row r="32" spans="1:28" x14ac:dyDescent="0.2">
      <c r="A32" s="24"/>
      <c r="B32" s="24"/>
      <c r="C32" s="24">
        <v>27</v>
      </c>
      <c r="D32" s="25"/>
      <c r="E32" s="26"/>
      <c r="F32" s="26"/>
      <c r="G32" s="26"/>
      <c r="H32" s="26"/>
      <c r="I32" s="26"/>
      <c r="J32" s="26">
        <f t="shared" si="0"/>
        <v>0</v>
      </c>
      <c r="K32" s="27">
        <f t="shared" si="3"/>
        <v>0</v>
      </c>
      <c r="M32" s="53"/>
      <c r="N32" s="54"/>
      <c r="O32" s="54"/>
      <c r="P32" s="54"/>
      <c r="Q32" s="54"/>
      <c r="R32" s="54"/>
      <c r="S32" s="26">
        <f t="shared" si="1"/>
        <v>0</v>
      </c>
      <c r="T32" s="27">
        <f t="shared" si="4"/>
        <v>0</v>
      </c>
      <c r="U32" s="20"/>
      <c r="V32" s="31"/>
      <c r="W32" s="32"/>
      <c r="X32" s="32"/>
      <c r="Y32" s="32"/>
      <c r="Z32" s="31"/>
      <c r="AA32" s="32"/>
      <c r="AB32" s="33"/>
    </row>
    <row r="33" spans="1:28" x14ac:dyDescent="0.2">
      <c r="A33" s="24"/>
      <c r="B33" s="24"/>
      <c r="C33" s="24">
        <v>32</v>
      </c>
      <c r="D33" s="25"/>
      <c r="E33" s="26"/>
      <c r="F33" s="26"/>
      <c r="G33" s="26"/>
      <c r="H33" s="26"/>
      <c r="I33" s="26"/>
      <c r="J33" s="26">
        <f t="shared" si="0"/>
        <v>0</v>
      </c>
      <c r="K33" s="27">
        <f t="shared" si="3"/>
        <v>0</v>
      </c>
      <c r="M33" s="53"/>
      <c r="N33" s="54"/>
      <c r="O33" s="54"/>
      <c r="P33" s="54"/>
      <c r="Q33" s="54"/>
      <c r="R33" s="54"/>
      <c r="S33" s="26">
        <f t="shared" si="1"/>
        <v>0</v>
      </c>
      <c r="T33" s="27">
        <f t="shared" si="4"/>
        <v>0</v>
      </c>
      <c r="U33" s="20"/>
      <c r="V33" s="31"/>
      <c r="W33" s="32"/>
      <c r="X33" s="32"/>
      <c r="Y33" s="32"/>
      <c r="Z33" s="31"/>
      <c r="AA33" s="32"/>
      <c r="AB33" s="33"/>
    </row>
    <row r="34" spans="1:28" ht="12.75" thickBot="1" x14ac:dyDescent="0.25">
      <c r="A34" s="24"/>
      <c r="B34" s="34"/>
      <c r="C34" s="34">
        <v>37</v>
      </c>
      <c r="D34" s="35"/>
      <c r="E34" s="36"/>
      <c r="F34" s="36"/>
      <c r="G34" s="36"/>
      <c r="H34" s="36"/>
      <c r="I34" s="36"/>
      <c r="J34" s="36">
        <f t="shared" si="0"/>
        <v>0</v>
      </c>
      <c r="K34" s="37">
        <f t="shared" si="3"/>
        <v>0</v>
      </c>
      <c r="M34" s="55"/>
      <c r="N34" s="56"/>
      <c r="O34" s="56"/>
      <c r="P34" s="56"/>
      <c r="Q34" s="56"/>
      <c r="R34" s="56"/>
      <c r="S34" s="36">
        <f t="shared" si="1"/>
        <v>0</v>
      </c>
      <c r="T34" s="37">
        <f t="shared" si="4"/>
        <v>0</v>
      </c>
      <c r="U34" s="20"/>
      <c r="V34" s="41"/>
      <c r="W34" s="42"/>
      <c r="X34" s="42"/>
      <c r="Y34" s="42"/>
      <c r="Z34" s="41"/>
      <c r="AA34" s="42"/>
      <c r="AB34" s="43"/>
    </row>
    <row r="35" spans="1:28" x14ac:dyDescent="0.2">
      <c r="A35" s="24"/>
      <c r="B35" s="13" t="s">
        <v>10</v>
      </c>
      <c r="C35" s="13">
        <v>22</v>
      </c>
      <c r="D35" s="14"/>
      <c r="E35" s="15"/>
      <c r="F35" s="15"/>
      <c r="G35" s="15"/>
      <c r="H35" s="15"/>
      <c r="I35" s="15"/>
      <c r="J35" s="15">
        <f t="shared" si="0"/>
        <v>0</v>
      </c>
      <c r="K35" s="16">
        <f t="shared" si="3"/>
        <v>0</v>
      </c>
      <c r="M35" s="51"/>
      <c r="N35" s="52"/>
      <c r="O35" s="52"/>
      <c r="P35" s="52"/>
      <c r="Q35" s="52"/>
      <c r="R35" s="52"/>
      <c r="S35" s="15">
        <f t="shared" si="1"/>
        <v>0</v>
      </c>
      <c r="T35" s="16">
        <f t="shared" si="4"/>
        <v>0</v>
      </c>
      <c r="U35" s="20"/>
      <c r="V35" s="21" t="e">
        <f>bdrate($D35:$D38,E35:E38,$M35:$M38,N35:N38)</f>
        <v>#VALUE!</v>
      </c>
      <c r="W35" s="22" t="e">
        <f>bdrate($D35:$D38,F35:F38,$M35:$M38,O35:O38)</f>
        <v>#VALUE!</v>
      </c>
      <c r="X35" s="22" t="e">
        <f>bdrate($D35:$D38,G35:G38,$M35:$M38,P35:P38)</f>
        <v>#VALUE!</v>
      </c>
      <c r="Y35" s="22" t="e">
        <f>bdrate(D35:D38,J35:J38,M35:M38,S35:S38)</f>
        <v>#VALUE!</v>
      </c>
      <c r="Z35" s="44" t="e">
        <f>bdrateOld($D35:$D38,E35:E38,$M35:$M38,N35:N38)</f>
        <v>#VALUE!</v>
      </c>
      <c r="AA35" s="45" t="e">
        <f>bdrateOld($D35:$D38,F35:F38,$M35:$M38,O35:O38)</f>
        <v>#VALUE!</v>
      </c>
      <c r="AB35" s="46" t="e">
        <f>bdrateOld($D35:$D38,G35:G38,$M35:$M38,P35:P38)</f>
        <v>#VALUE!</v>
      </c>
    </row>
    <row r="36" spans="1:28" x14ac:dyDescent="0.2">
      <c r="A36" s="24"/>
      <c r="B36" s="24"/>
      <c r="C36" s="24">
        <v>27</v>
      </c>
      <c r="D36" s="25"/>
      <c r="E36" s="26"/>
      <c r="F36" s="26"/>
      <c r="G36" s="26"/>
      <c r="H36" s="26"/>
      <c r="I36" s="26"/>
      <c r="J36" s="26">
        <f t="shared" si="0"/>
        <v>0</v>
      </c>
      <c r="K36" s="27">
        <f t="shared" si="3"/>
        <v>0</v>
      </c>
      <c r="M36" s="53"/>
      <c r="N36" s="54"/>
      <c r="O36" s="54"/>
      <c r="P36" s="54"/>
      <c r="Q36" s="54"/>
      <c r="R36" s="54"/>
      <c r="S36" s="26">
        <f t="shared" si="1"/>
        <v>0</v>
      </c>
      <c r="T36" s="27">
        <f t="shared" si="4"/>
        <v>0</v>
      </c>
      <c r="U36" s="20"/>
      <c r="V36" s="31"/>
      <c r="W36" s="32"/>
      <c r="X36" s="32"/>
      <c r="Y36" s="32"/>
      <c r="Z36" s="31"/>
      <c r="AA36" s="32"/>
      <c r="AB36" s="33"/>
    </row>
    <row r="37" spans="1:28" x14ac:dyDescent="0.2">
      <c r="A37" s="24"/>
      <c r="B37" s="24"/>
      <c r="C37" s="24">
        <v>32</v>
      </c>
      <c r="D37" s="25"/>
      <c r="E37" s="26"/>
      <c r="F37" s="26"/>
      <c r="G37" s="26"/>
      <c r="H37" s="26"/>
      <c r="I37" s="26"/>
      <c r="J37" s="26">
        <f t="shared" si="0"/>
        <v>0</v>
      </c>
      <c r="K37" s="27">
        <f t="shared" si="3"/>
        <v>0</v>
      </c>
      <c r="M37" s="53"/>
      <c r="N37" s="54"/>
      <c r="O37" s="54"/>
      <c r="P37" s="54"/>
      <c r="Q37" s="54"/>
      <c r="R37" s="54"/>
      <c r="S37" s="26">
        <f t="shared" si="1"/>
        <v>0</v>
      </c>
      <c r="T37" s="27">
        <f t="shared" si="4"/>
        <v>0</v>
      </c>
      <c r="U37" s="20"/>
      <c r="V37" s="31"/>
      <c r="W37" s="32"/>
      <c r="X37" s="32"/>
      <c r="Y37" s="32"/>
      <c r="Z37" s="31"/>
      <c r="AA37" s="32"/>
      <c r="AB37" s="33"/>
    </row>
    <row r="38" spans="1:28" ht="12.75" thickBot="1" x14ac:dyDescent="0.25">
      <c r="A38" s="34"/>
      <c r="B38" s="34"/>
      <c r="C38" s="34">
        <v>37</v>
      </c>
      <c r="D38" s="35"/>
      <c r="E38" s="36"/>
      <c r="F38" s="36"/>
      <c r="G38" s="36"/>
      <c r="H38" s="36"/>
      <c r="I38" s="36"/>
      <c r="J38" s="36">
        <f t="shared" si="0"/>
        <v>0</v>
      </c>
      <c r="K38" s="37">
        <f t="shared" si="3"/>
        <v>0</v>
      </c>
      <c r="M38" s="55"/>
      <c r="N38" s="56"/>
      <c r="O38" s="56"/>
      <c r="P38" s="56"/>
      <c r="Q38" s="56"/>
      <c r="R38" s="56"/>
      <c r="S38" s="36">
        <f t="shared" si="1"/>
        <v>0</v>
      </c>
      <c r="T38" s="37">
        <f t="shared" si="4"/>
        <v>0</v>
      </c>
      <c r="U38" s="20"/>
      <c r="V38" s="41"/>
      <c r="W38" s="42"/>
      <c r="X38" s="42"/>
      <c r="Y38" s="42"/>
      <c r="Z38" s="41"/>
      <c r="AA38" s="42"/>
      <c r="AB38" s="43"/>
    </row>
    <row r="39" spans="1:28" x14ac:dyDescent="0.2">
      <c r="A39" s="13" t="s">
        <v>11</v>
      </c>
      <c r="B39" s="13" t="s">
        <v>12</v>
      </c>
      <c r="C39" s="13">
        <v>22</v>
      </c>
      <c r="D39" s="14"/>
      <c r="E39" s="15"/>
      <c r="F39" s="15"/>
      <c r="G39" s="15"/>
      <c r="H39" s="15"/>
      <c r="I39" s="15"/>
      <c r="J39" s="15">
        <f t="shared" si="0"/>
        <v>0</v>
      </c>
      <c r="K39" s="16">
        <f t="shared" si="3"/>
        <v>0</v>
      </c>
      <c r="M39" s="51"/>
      <c r="N39" s="52"/>
      <c r="O39" s="52"/>
      <c r="P39" s="52"/>
      <c r="Q39" s="52"/>
      <c r="R39" s="52"/>
      <c r="S39" s="15">
        <f t="shared" si="1"/>
        <v>0</v>
      </c>
      <c r="T39" s="16">
        <f t="shared" si="4"/>
        <v>0</v>
      </c>
      <c r="U39" s="20"/>
      <c r="V39" s="21" t="e">
        <f>bdrate($D39:$D42,E39:E42,$M39:$M42,N39:N42)</f>
        <v>#VALUE!</v>
      </c>
      <c r="W39" s="22" t="e">
        <f>bdrate($D39:$D42,F39:F42,$M39:$M42,O39:O42)</f>
        <v>#VALUE!</v>
      </c>
      <c r="X39" s="22" t="e">
        <f>bdrate($D39:$D42,G39:G42,$M39:$M42,P39:P42)</f>
        <v>#VALUE!</v>
      </c>
      <c r="Y39" s="22" t="e">
        <f>bdrate(D39:D42,J39:J42,M39:M42,S39:S42)</f>
        <v>#VALUE!</v>
      </c>
      <c r="Z39" s="44" t="e">
        <f>bdrateOld($D39:$D42,E39:E42,$M39:$M42,N39:N42)</f>
        <v>#VALUE!</v>
      </c>
      <c r="AA39" s="45" t="e">
        <f>bdrateOld($D39:$D42,F39:F42,$M39:$M42,O39:O42)</f>
        <v>#VALUE!</v>
      </c>
      <c r="AB39" s="46" t="e">
        <f>bdrateOld($D39:$D42,G39:G42,$M39:$M42,P39:P42)</f>
        <v>#VALUE!</v>
      </c>
    </row>
    <row r="40" spans="1:28" x14ac:dyDescent="0.2">
      <c r="A40" s="24" t="s">
        <v>13</v>
      </c>
      <c r="B40" s="24"/>
      <c r="C40" s="24">
        <v>27</v>
      </c>
      <c r="D40" s="25"/>
      <c r="E40" s="26"/>
      <c r="F40" s="26"/>
      <c r="G40" s="26"/>
      <c r="H40" s="26"/>
      <c r="I40" s="26"/>
      <c r="J40" s="26">
        <f t="shared" si="0"/>
        <v>0</v>
      </c>
      <c r="K40" s="27">
        <f t="shared" si="3"/>
        <v>0</v>
      </c>
      <c r="M40" s="53"/>
      <c r="N40" s="54"/>
      <c r="O40" s="54"/>
      <c r="P40" s="54"/>
      <c r="Q40" s="54"/>
      <c r="R40" s="54"/>
      <c r="S40" s="26">
        <f t="shared" si="1"/>
        <v>0</v>
      </c>
      <c r="T40" s="27">
        <f t="shared" si="4"/>
        <v>0</v>
      </c>
      <c r="U40" s="20"/>
      <c r="V40" s="31"/>
      <c r="W40" s="32"/>
      <c r="X40" s="32"/>
      <c r="Y40" s="32"/>
      <c r="Z40" s="31"/>
      <c r="AA40" s="32"/>
      <c r="AB40" s="33"/>
    </row>
    <row r="41" spans="1:28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6">
        <f t="shared" si="0"/>
        <v>0</v>
      </c>
      <c r="K41" s="27">
        <f t="shared" si="3"/>
        <v>0</v>
      </c>
      <c r="M41" s="53"/>
      <c r="N41" s="54"/>
      <c r="O41" s="54"/>
      <c r="P41" s="54"/>
      <c r="Q41" s="54"/>
      <c r="R41" s="54"/>
      <c r="S41" s="26">
        <f t="shared" si="1"/>
        <v>0</v>
      </c>
      <c r="T41" s="27">
        <f t="shared" si="4"/>
        <v>0</v>
      </c>
      <c r="U41" s="20"/>
      <c r="V41" s="31"/>
      <c r="W41" s="32"/>
      <c r="X41" s="32"/>
      <c r="Y41" s="32"/>
      <c r="Z41" s="31"/>
      <c r="AA41" s="32"/>
      <c r="AB41" s="33"/>
    </row>
    <row r="42" spans="1:28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6">
        <f t="shared" si="0"/>
        <v>0</v>
      </c>
      <c r="K42" s="37">
        <f t="shared" si="3"/>
        <v>0</v>
      </c>
      <c r="M42" s="55"/>
      <c r="N42" s="56"/>
      <c r="O42" s="56"/>
      <c r="P42" s="56"/>
      <c r="Q42" s="56"/>
      <c r="R42" s="56"/>
      <c r="S42" s="36">
        <f t="shared" si="1"/>
        <v>0</v>
      </c>
      <c r="T42" s="37">
        <f t="shared" si="4"/>
        <v>0</v>
      </c>
      <c r="U42" s="20"/>
      <c r="V42" s="41"/>
      <c r="W42" s="42"/>
      <c r="X42" s="42"/>
      <c r="Y42" s="42"/>
      <c r="Z42" s="41"/>
      <c r="AA42" s="42"/>
      <c r="AB42" s="43"/>
    </row>
    <row r="43" spans="1:28" x14ac:dyDescent="0.2">
      <c r="A43" s="24"/>
      <c r="B43" s="13" t="s">
        <v>14</v>
      </c>
      <c r="C43" s="13">
        <v>22</v>
      </c>
      <c r="D43" s="14"/>
      <c r="E43" s="15"/>
      <c r="F43" s="15"/>
      <c r="G43" s="15"/>
      <c r="H43" s="15"/>
      <c r="I43" s="15"/>
      <c r="J43" s="15">
        <f t="shared" si="0"/>
        <v>0</v>
      </c>
      <c r="K43" s="16">
        <f t="shared" si="3"/>
        <v>0</v>
      </c>
      <c r="M43" s="51"/>
      <c r="N43" s="52"/>
      <c r="O43" s="52"/>
      <c r="P43" s="52"/>
      <c r="Q43" s="52"/>
      <c r="R43" s="52"/>
      <c r="S43" s="15">
        <f t="shared" si="1"/>
        <v>0</v>
      </c>
      <c r="T43" s="16">
        <f t="shared" si="4"/>
        <v>0</v>
      </c>
      <c r="U43" s="20"/>
      <c r="V43" s="21" t="e">
        <f>bdrate($D43:$D46,E43:E46,$M43:$M46,N43:N46)</f>
        <v>#VALUE!</v>
      </c>
      <c r="W43" s="22" t="e">
        <f>bdrate($D43:$D46,F43:F46,$M43:$M46,O43:O46)</f>
        <v>#VALUE!</v>
      </c>
      <c r="X43" s="22" t="e">
        <f>bdrate($D43:$D46,G43:G46,$M43:$M46,P43:P46)</f>
        <v>#VALUE!</v>
      </c>
      <c r="Y43" s="22" t="e">
        <f>bdrate(D43:D46,J43:J46,M43:M46,S43:S46)</f>
        <v>#VALUE!</v>
      </c>
      <c r="Z43" s="44" t="e">
        <f>bdrateOld($D43:$D46,E43:E46,$M43:$M46,N43:N46)</f>
        <v>#VALUE!</v>
      </c>
      <c r="AA43" s="45" t="e">
        <f>bdrateOld($D43:$D46,F43:F46,$M43:$M46,O43:O46)</f>
        <v>#VALUE!</v>
      </c>
      <c r="AB43" s="46" t="e">
        <f>bdrateOld($D43:$D46,G43:G46,$M43:$M46,P43:P46)</f>
        <v>#VALUE!</v>
      </c>
    </row>
    <row r="44" spans="1:28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6">
        <f t="shared" si="0"/>
        <v>0</v>
      </c>
      <c r="K44" s="27">
        <f t="shared" si="3"/>
        <v>0</v>
      </c>
      <c r="M44" s="53"/>
      <c r="N44" s="54"/>
      <c r="O44" s="54"/>
      <c r="P44" s="54"/>
      <c r="Q44" s="54"/>
      <c r="R44" s="54"/>
      <c r="S44" s="26">
        <f t="shared" si="1"/>
        <v>0</v>
      </c>
      <c r="T44" s="27">
        <f t="shared" si="4"/>
        <v>0</v>
      </c>
      <c r="U44" s="20"/>
      <c r="V44" s="31"/>
      <c r="W44" s="32"/>
      <c r="X44" s="32"/>
      <c r="Y44" s="32"/>
      <c r="Z44" s="31"/>
      <c r="AA44" s="32"/>
      <c r="AB44" s="33"/>
    </row>
    <row r="45" spans="1:28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6">
        <f t="shared" si="0"/>
        <v>0</v>
      </c>
      <c r="K45" s="27">
        <f t="shared" si="3"/>
        <v>0</v>
      </c>
      <c r="M45" s="53"/>
      <c r="N45" s="54"/>
      <c r="O45" s="54"/>
      <c r="P45" s="54"/>
      <c r="Q45" s="54"/>
      <c r="R45" s="54"/>
      <c r="S45" s="26">
        <f t="shared" si="1"/>
        <v>0</v>
      </c>
      <c r="T45" s="27">
        <f t="shared" si="4"/>
        <v>0</v>
      </c>
      <c r="U45" s="20"/>
      <c r="V45" s="31"/>
      <c r="W45" s="32"/>
      <c r="X45" s="32"/>
      <c r="Y45" s="32"/>
      <c r="Z45" s="31"/>
      <c r="AA45" s="32"/>
      <c r="AB45" s="33"/>
    </row>
    <row r="46" spans="1:28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6">
        <f t="shared" si="0"/>
        <v>0</v>
      </c>
      <c r="K46" s="37">
        <f t="shared" si="3"/>
        <v>0</v>
      </c>
      <c r="M46" s="55"/>
      <c r="N46" s="56"/>
      <c r="O46" s="56"/>
      <c r="P46" s="56"/>
      <c r="Q46" s="56"/>
      <c r="R46" s="56"/>
      <c r="S46" s="36">
        <f t="shared" si="1"/>
        <v>0</v>
      </c>
      <c r="T46" s="37">
        <f t="shared" si="4"/>
        <v>0</v>
      </c>
      <c r="U46" s="20"/>
      <c r="V46" s="41"/>
      <c r="W46" s="42"/>
      <c r="X46" s="42"/>
      <c r="Y46" s="42"/>
      <c r="Z46" s="41"/>
      <c r="AA46" s="42"/>
      <c r="AB46" s="43"/>
    </row>
    <row r="47" spans="1:28" x14ac:dyDescent="0.2">
      <c r="A47" s="24"/>
      <c r="B47" s="13" t="s">
        <v>15</v>
      </c>
      <c r="C47" s="13">
        <v>22</v>
      </c>
      <c r="D47" s="14"/>
      <c r="E47" s="15"/>
      <c r="F47" s="15"/>
      <c r="G47" s="15"/>
      <c r="H47" s="15"/>
      <c r="I47" s="15"/>
      <c r="J47" s="15">
        <f t="shared" si="0"/>
        <v>0</v>
      </c>
      <c r="K47" s="16">
        <f t="shared" si="3"/>
        <v>0</v>
      </c>
      <c r="M47" s="51"/>
      <c r="N47" s="52"/>
      <c r="O47" s="52"/>
      <c r="P47" s="52"/>
      <c r="Q47" s="52"/>
      <c r="R47" s="52"/>
      <c r="S47" s="15">
        <f t="shared" si="1"/>
        <v>0</v>
      </c>
      <c r="T47" s="16">
        <f t="shared" si="4"/>
        <v>0</v>
      </c>
      <c r="U47" s="20"/>
      <c r="V47" s="21" t="e">
        <f>bdrate($D47:$D50,E47:E50,$M47:$M50,N47:N50)</f>
        <v>#VALUE!</v>
      </c>
      <c r="W47" s="22" t="e">
        <f>bdrate($D47:$D50,F47:F50,$M47:$M50,O47:O50)</f>
        <v>#VALUE!</v>
      </c>
      <c r="X47" s="22" t="e">
        <f>bdrate($D47:$D50,G47:G50,$M47:$M50,P47:P50)</f>
        <v>#VALUE!</v>
      </c>
      <c r="Y47" s="22" t="e">
        <f>bdrate(D47:D50,J47:J50,M47:M50,S47:S50)</f>
        <v>#VALUE!</v>
      </c>
      <c r="Z47" s="44" t="e">
        <f>bdrateOld($D47:$D50,E47:E50,$M47:$M50,N47:N50)</f>
        <v>#VALUE!</v>
      </c>
      <c r="AA47" s="45" t="e">
        <f>bdrateOld($D47:$D50,F47:F50,$M47:$M50,O47:O50)</f>
        <v>#VALUE!</v>
      </c>
      <c r="AB47" s="46" t="e">
        <f>bdrateOld($D47:$D50,G47:G50,$M47:$M50,P47:P50)</f>
        <v>#VALUE!</v>
      </c>
    </row>
    <row r="48" spans="1:28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6">
        <f t="shared" si="0"/>
        <v>0</v>
      </c>
      <c r="K48" s="27">
        <f t="shared" si="3"/>
        <v>0</v>
      </c>
      <c r="M48" s="53"/>
      <c r="N48" s="54"/>
      <c r="O48" s="54"/>
      <c r="P48" s="54"/>
      <c r="Q48" s="54"/>
      <c r="R48" s="54"/>
      <c r="S48" s="26">
        <f t="shared" si="1"/>
        <v>0</v>
      </c>
      <c r="T48" s="27">
        <f t="shared" si="4"/>
        <v>0</v>
      </c>
      <c r="U48" s="20"/>
      <c r="V48" s="31"/>
      <c r="W48" s="32"/>
      <c r="X48" s="32"/>
      <c r="Y48" s="32"/>
      <c r="Z48" s="31"/>
      <c r="AA48" s="32"/>
      <c r="AB48" s="33"/>
    </row>
    <row r="49" spans="1:28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6">
        <f t="shared" si="0"/>
        <v>0</v>
      </c>
      <c r="K49" s="27">
        <f t="shared" si="3"/>
        <v>0</v>
      </c>
      <c r="M49" s="53"/>
      <c r="N49" s="54"/>
      <c r="O49" s="54"/>
      <c r="P49" s="54"/>
      <c r="Q49" s="54"/>
      <c r="R49" s="54"/>
      <c r="S49" s="26">
        <f t="shared" si="1"/>
        <v>0</v>
      </c>
      <c r="T49" s="27">
        <f t="shared" si="4"/>
        <v>0</v>
      </c>
      <c r="U49" s="20"/>
      <c r="V49" s="31"/>
      <c r="W49" s="32"/>
      <c r="X49" s="32"/>
      <c r="Y49" s="32"/>
      <c r="Z49" s="31"/>
      <c r="AA49" s="32"/>
      <c r="AB49" s="33"/>
    </row>
    <row r="50" spans="1:28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6">
        <f t="shared" si="0"/>
        <v>0</v>
      </c>
      <c r="K50" s="37">
        <f t="shared" si="3"/>
        <v>0</v>
      </c>
      <c r="M50" s="55"/>
      <c r="N50" s="56"/>
      <c r="O50" s="56"/>
      <c r="P50" s="56"/>
      <c r="Q50" s="56"/>
      <c r="R50" s="56"/>
      <c r="S50" s="36">
        <f t="shared" si="1"/>
        <v>0</v>
      </c>
      <c r="T50" s="37">
        <f t="shared" si="4"/>
        <v>0</v>
      </c>
      <c r="U50" s="20"/>
      <c r="V50" s="41"/>
      <c r="W50" s="42"/>
      <c r="X50" s="42"/>
      <c r="Y50" s="42"/>
      <c r="Z50" s="41"/>
      <c r="AA50" s="42"/>
      <c r="AB50" s="43"/>
    </row>
    <row r="51" spans="1:28" x14ac:dyDescent="0.2">
      <c r="A51" s="24"/>
      <c r="B51" s="13" t="s">
        <v>16</v>
      </c>
      <c r="C51" s="13">
        <v>22</v>
      </c>
      <c r="D51" s="14"/>
      <c r="E51" s="15"/>
      <c r="F51" s="15"/>
      <c r="G51" s="15"/>
      <c r="H51" s="15"/>
      <c r="I51" s="15"/>
      <c r="J51" s="15">
        <f t="shared" si="0"/>
        <v>0</v>
      </c>
      <c r="K51" s="16">
        <f t="shared" si="3"/>
        <v>0</v>
      </c>
      <c r="M51" s="51"/>
      <c r="N51" s="52"/>
      <c r="O51" s="52"/>
      <c r="P51" s="52"/>
      <c r="Q51" s="52"/>
      <c r="R51" s="52"/>
      <c r="S51" s="15">
        <f t="shared" si="1"/>
        <v>0</v>
      </c>
      <c r="T51" s="16">
        <f t="shared" si="4"/>
        <v>0</v>
      </c>
      <c r="U51" s="20"/>
      <c r="V51" s="21" t="e">
        <f>bdrate($D51:$D54,E51:E54,$M51:$M54,N51:N54)</f>
        <v>#VALUE!</v>
      </c>
      <c r="W51" s="22" t="e">
        <f>bdrate($D51:$D54,F51:F54,$M51:$M54,O51:O54)</f>
        <v>#VALUE!</v>
      </c>
      <c r="X51" s="22" t="e">
        <f>bdrate($D51:$D54,G51:G54,$M51:$M54,P51:P54)</f>
        <v>#VALUE!</v>
      </c>
      <c r="Y51" s="22" t="e">
        <f>bdrate(D51:D54,J51:J54,M51:M54,S51:S54)</f>
        <v>#VALUE!</v>
      </c>
      <c r="Z51" s="44" t="e">
        <f>bdrateOld($D51:$D54,E51:E54,$M51:$M54,N51:N54)</f>
        <v>#VALUE!</v>
      </c>
      <c r="AA51" s="45" t="e">
        <f>bdrateOld($D51:$D54,F51:F54,$M51:$M54,O51:O54)</f>
        <v>#VALUE!</v>
      </c>
      <c r="AB51" s="46" t="e">
        <f>bdrateOld($D51:$D54,G51:G54,$M51:$M54,P51:P54)</f>
        <v>#VALUE!</v>
      </c>
    </row>
    <row r="52" spans="1:28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6">
        <f t="shared" si="0"/>
        <v>0</v>
      </c>
      <c r="K52" s="27">
        <f t="shared" si="3"/>
        <v>0</v>
      </c>
      <c r="M52" s="53"/>
      <c r="N52" s="54"/>
      <c r="O52" s="54"/>
      <c r="P52" s="54"/>
      <c r="Q52" s="54"/>
      <c r="R52" s="54"/>
      <c r="S52" s="26">
        <f t="shared" si="1"/>
        <v>0</v>
      </c>
      <c r="T52" s="27">
        <f t="shared" si="4"/>
        <v>0</v>
      </c>
      <c r="U52" s="20"/>
      <c r="V52" s="31"/>
      <c r="W52" s="32"/>
      <c r="X52" s="32"/>
      <c r="Y52" s="32"/>
      <c r="Z52" s="31"/>
      <c r="AA52" s="32"/>
      <c r="AB52" s="33"/>
    </row>
    <row r="53" spans="1:28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6">
        <f t="shared" si="0"/>
        <v>0</v>
      </c>
      <c r="K53" s="27">
        <f t="shared" si="3"/>
        <v>0</v>
      </c>
      <c r="M53" s="53"/>
      <c r="N53" s="54"/>
      <c r="O53" s="54"/>
      <c r="P53" s="54"/>
      <c r="Q53" s="54"/>
      <c r="R53" s="54"/>
      <c r="S53" s="26">
        <f t="shared" si="1"/>
        <v>0</v>
      </c>
      <c r="T53" s="27">
        <f t="shared" si="4"/>
        <v>0</v>
      </c>
      <c r="U53" s="20"/>
      <c r="V53" s="31"/>
      <c r="W53" s="32"/>
      <c r="X53" s="32"/>
      <c r="Y53" s="32"/>
      <c r="Z53" s="31"/>
      <c r="AA53" s="32"/>
      <c r="AB53" s="33"/>
    </row>
    <row r="54" spans="1:28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6">
        <f t="shared" si="0"/>
        <v>0</v>
      </c>
      <c r="K54" s="37">
        <f t="shared" si="3"/>
        <v>0</v>
      </c>
      <c r="M54" s="55"/>
      <c r="N54" s="56"/>
      <c r="O54" s="56"/>
      <c r="P54" s="56"/>
      <c r="Q54" s="56"/>
      <c r="R54" s="56"/>
      <c r="S54" s="36">
        <f t="shared" si="1"/>
        <v>0</v>
      </c>
      <c r="T54" s="37">
        <f t="shared" si="4"/>
        <v>0</v>
      </c>
      <c r="U54" s="20"/>
      <c r="V54" s="41"/>
      <c r="W54" s="42"/>
      <c r="X54" s="42"/>
      <c r="Y54" s="42"/>
      <c r="Z54" s="41"/>
      <c r="AA54" s="42"/>
      <c r="AB54" s="43"/>
    </row>
    <row r="55" spans="1:28" x14ac:dyDescent="0.2">
      <c r="A55" s="13" t="s">
        <v>17</v>
      </c>
      <c r="B55" s="13" t="s">
        <v>18</v>
      </c>
      <c r="C55" s="13">
        <v>22</v>
      </c>
      <c r="D55" s="14"/>
      <c r="E55" s="15"/>
      <c r="F55" s="15"/>
      <c r="G55" s="15"/>
      <c r="H55" s="15"/>
      <c r="I55" s="15"/>
      <c r="J55" s="15">
        <f t="shared" si="0"/>
        <v>0</v>
      </c>
      <c r="K55" s="16">
        <f t="shared" si="3"/>
        <v>0</v>
      </c>
      <c r="M55" s="14"/>
      <c r="N55" s="15"/>
      <c r="O55" s="15"/>
      <c r="P55" s="15"/>
      <c r="Q55" s="15"/>
      <c r="R55" s="15"/>
      <c r="S55" s="15">
        <f t="shared" si="1"/>
        <v>0</v>
      </c>
      <c r="T55" s="16">
        <f t="shared" si="4"/>
        <v>0</v>
      </c>
      <c r="U55" s="20"/>
      <c r="V55" s="21" t="e">
        <f>bdrate($D55:$D58,E55:E58,$M55:$M58,N55:N58)</f>
        <v>#VALUE!</v>
      </c>
      <c r="W55" s="22" t="e">
        <f>bdrate($D55:$D58,F55:F58,$M55:$M58,O55:O58)</f>
        <v>#VALUE!</v>
      </c>
      <c r="X55" s="22" t="e">
        <f>bdrate($D55:$D58,G55:G58,$M55:$M58,P55:P58)</f>
        <v>#VALUE!</v>
      </c>
      <c r="Y55" s="22" t="e">
        <f>bdrate(D55:D58,J55:J58,M55:M58,S55:S58)</f>
        <v>#VALUE!</v>
      </c>
      <c r="Z55" s="44" t="e">
        <f>bdrateOld($D55:$D58,E55:E58,$M55:$M58,N55:N58)</f>
        <v>#VALUE!</v>
      </c>
      <c r="AA55" s="45" t="e">
        <f>bdrateOld($D55:$D58,F55:F58,$M55:$M58,O55:O58)</f>
        <v>#VALUE!</v>
      </c>
      <c r="AB55" s="46" t="e">
        <f>bdrateOld($D55:$D58,G55:G58,$M55:$M58,P55:P58)</f>
        <v>#VALUE!</v>
      </c>
    </row>
    <row r="56" spans="1:28" x14ac:dyDescent="0.2">
      <c r="A56" s="24" t="s">
        <v>19</v>
      </c>
      <c r="B56" s="24"/>
      <c r="C56" s="24">
        <v>27</v>
      </c>
      <c r="D56" s="25"/>
      <c r="E56" s="26"/>
      <c r="F56" s="26"/>
      <c r="G56" s="26"/>
      <c r="H56" s="26"/>
      <c r="I56" s="26"/>
      <c r="J56" s="26">
        <f t="shared" si="0"/>
        <v>0</v>
      </c>
      <c r="K56" s="27">
        <f t="shared" si="3"/>
        <v>0</v>
      </c>
      <c r="M56" s="25"/>
      <c r="N56" s="26"/>
      <c r="O56" s="26"/>
      <c r="P56" s="26"/>
      <c r="Q56" s="26"/>
      <c r="R56" s="26"/>
      <c r="S56" s="26">
        <f t="shared" si="1"/>
        <v>0</v>
      </c>
      <c r="T56" s="27">
        <f t="shared" si="4"/>
        <v>0</v>
      </c>
      <c r="U56" s="20"/>
      <c r="V56" s="31"/>
      <c r="W56" s="32"/>
      <c r="X56" s="32"/>
      <c r="Y56" s="32"/>
      <c r="Z56" s="31"/>
      <c r="AA56" s="32"/>
      <c r="AB56" s="33"/>
    </row>
    <row r="57" spans="1:28" x14ac:dyDescent="0.2">
      <c r="A57" s="24"/>
      <c r="B57" s="24"/>
      <c r="C57" s="24">
        <v>32</v>
      </c>
      <c r="D57" s="25"/>
      <c r="E57" s="26"/>
      <c r="F57" s="26"/>
      <c r="G57" s="26"/>
      <c r="H57" s="26"/>
      <c r="I57" s="26"/>
      <c r="J57" s="26">
        <f t="shared" si="0"/>
        <v>0</v>
      </c>
      <c r="K57" s="27">
        <f t="shared" si="3"/>
        <v>0</v>
      </c>
      <c r="M57" s="25"/>
      <c r="N57" s="26"/>
      <c r="O57" s="26"/>
      <c r="P57" s="26"/>
      <c r="Q57" s="26"/>
      <c r="R57" s="26"/>
      <c r="S57" s="26">
        <f t="shared" si="1"/>
        <v>0</v>
      </c>
      <c r="T57" s="27">
        <f t="shared" si="4"/>
        <v>0</v>
      </c>
      <c r="U57" s="20"/>
      <c r="V57" s="31"/>
      <c r="W57" s="32"/>
      <c r="X57" s="32"/>
      <c r="Y57" s="32"/>
      <c r="Z57" s="31"/>
      <c r="AA57" s="32"/>
      <c r="AB57" s="33"/>
    </row>
    <row r="58" spans="1:28" ht="12.75" thickBot="1" x14ac:dyDescent="0.25">
      <c r="A58" s="24"/>
      <c r="B58" s="34"/>
      <c r="C58" s="34">
        <v>37</v>
      </c>
      <c r="D58" s="35"/>
      <c r="E58" s="36"/>
      <c r="F58" s="36"/>
      <c r="G58" s="36"/>
      <c r="H58" s="36"/>
      <c r="I58" s="36"/>
      <c r="J58" s="36">
        <f t="shared" si="0"/>
        <v>0</v>
      </c>
      <c r="K58" s="37">
        <f t="shared" si="3"/>
        <v>0</v>
      </c>
      <c r="M58" s="35"/>
      <c r="N58" s="36"/>
      <c r="O58" s="36"/>
      <c r="P58" s="36"/>
      <c r="Q58" s="36"/>
      <c r="R58" s="36"/>
      <c r="S58" s="36">
        <f t="shared" si="1"/>
        <v>0</v>
      </c>
      <c r="T58" s="37">
        <f t="shared" si="4"/>
        <v>0</v>
      </c>
      <c r="U58" s="20"/>
      <c r="V58" s="41"/>
      <c r="W58" s="42"/>
      <c r="X58" s="42"/>
      <c r="Y58" s="42"/>
      <c r="Z58" s="41"/>
      <c r="AA58" s="42"/>
      <c r="AB58" s="43"/>
    </row>
    <row r="59" spans="1:28" x14ac:dyDescent="0.2">
      <c r="A59" s="24"/>
      <c r="B59" s="13" t="s">
        <v>20</v>
      </c>
      <c r="C59" s="13">
        <v>22</v>
      </c>
      <c r="D59" s="14"/>
      <c r="E59" s="15"/>
      <c r="F59" s="15"/>
      <c r="G59" s="15"/>
      <c r="H59" s="15"/>
      <c r="I59" s="15"/>
      <c r="J59" s="15">
        <f t="shared" si="0"/>
        <v>0</v>
      </c>
      <c r="K59" s="16">
        <f t="shared" si="3"/>
        <v>0</v>
      </c>
      <c r="M59" s="14"/>
      <c r="N59" s="15"/>
      <c r="O59" s="15"/>
      <c r="P59" s="15"/>
      <c r="Q59" s="15"/>
      <c r="R59" s="15"/>
      <c r="S59" s="15">
        <f t="shared" si="1"/>
        <v>0</v>
      </c>
      <c r="T59" s="16">
        <f t="shared" si="4"/>
        <v>0</v>
      </c>
      <c r="U59" s="20"/>
      <c r="V59" s="21" t="e">
        <f>bdrate($D59:$D62,E59:E62,$M59:$M62,N59:N62)</f>
        <v>#VALUE!</v>
      </c>
      <c r="W59" s="22" t="e">
        <f>bdrate($D59:$D62,F59:F62,$M59:$M62,O59:O62)</f>
        <v>#VALUE!</v>
      </c>
      <c r="X59" s="22" t="e">
        <f>bdrate($D59:$D62,G59:G62,$M59:$M62,P59:P62)</f>
        <v>#VALUE!</v>
      </c>
      <c r="Y59" s="22" t="e">
        <f>bdrate(D59:D62,J59:J62,M59:M62,S59:S62)</f>
        <v>#VALUE!</v>
      </c>
      <c r="Z59" s="44" t="e">
        <f>bdrateOld($D59:$D62,E59:E62,$M59:$M62,N59:N62)</f>
        <v>#VALUE!</v>
      </c>
      <c r="AA59" s="45" t="e">
        <f>bdrateOld($D59:$D62,F59:F62,$M59:$M62,O59:O62)</f>
        <v>#VALUE!</v>
      </c>
      <c r="AB59" s="46" t="e">
        <f>bdrateOld($D59:$D62,G59:G62,$M59:$M62,P59:P62)</f>
        <v>#VALUE!</v>
      </c>
    </row>
    <row r="60" spans="1:28" x14ac:dyDescent="0.2">
      <c r="A60" s="24"/>
      <c r="B60" s="24"/>
      <c r="C60" s="24">
        <v>27</v>
      </c>
      <c r="D60" s="25"/>
      <c r="E60" s="26"/>
      <c r="F60" s="26"/>
      <c r="G60" s="26"/>
      <c r="H60" s="26"/>
      <c r="I60" s="26"/>
      <c r="J60" s="26">
        <f t="shared" si="0"/>
        <v>0</v>
      </c>
      <c r="K60" s="27">
        <f t="shared" si="3"/>
        <v>0</v>
      </c>
      <c r="M60" s="25"/>
      <c r="N60" s="26"/>
      <c r="O60" s="26"/>
      <c r="P60" s="26"/>
      <c r="Q60" s="26"/>
      <c r="R60" s="26"/>
      <c r="S60" s="26">
        <f t="shared" si="1"/>
        <v>0</v>
      </c>
      <c r="T60" s="27">
        <f t="shared" si="4"/>
        <v>0</v>
      </c>
      <c r="U60" s="20"/>
      <c r="V60" s="31"/>
      <c r="W60" s="32"/>
      <c r="X60" s="32"/>
      <c r="Y60" s="32"/>
      <c r="Z60" s="31"/>
      <c r="AA60" s="32"/>
      <c r="AB60" s="33"/>
    </row>
    <row r="61" spans="1:28" x14ac:dyDescent="0.2">
      <c r="A61" s="24"/>
      <c r="B61" s="24"/>
      <c r="C61" s="24">
        <v>32</v>
      </c>
      <c r="D61" s="25"/>
      <c r="E61" s="26"/>
      <c r="F61" s="26"/>
      <c r="G61" s="26"/>
      <c r="H61" s="26"/>
      <c r="I61" s="26"/>
      <c r="J61" s="26">
        <f t="shared" si="0"/>
        <v>0</v>
      </c>
      <c r="K61" s="27">
        <f t="shared" si="3"/>
        <v>0</v>
      </c>
      <c r="M61" s="25"/>
      <c r="N61" s="26"/>
      <c r="O61" s="26"/>
      <c r="P61" s="26"/>
      <c r="Q61" s="26"/>
      <c r="R61" s="26"/>
      <c r="S61" s="26">
        <f t="shared" si="1"/>
        <v>0</v>
      </c>
      <c r="T61" s="27">
        <f t="shared" si="4"/>
        <v>0</v>
      </c>
      <c r="U61" s="20"/>
      <c r="V61" s="31"/>
      <c r="W61" s="32"/>
      <c r="X61" s="32"/>
      <c r="Y61" s="32"/>
      <c r="Z61" s="31"/>
      <c r="AA61" s="32"/>
      <c r="AB61" s="33"/>
    </row>
    <row r="62" spans="1:28" ht="12.75" thickBot="1" x14ac:dyDescent="0.25">
      <c r="A62" s="24"/>
      <c r="B62" s="34"/>
      <c r="C62" s="34">
        <v>37</v>
      </c>
      <c r="D62" s="35"/>
      <c r="E62" s="36"/>
      <c r="F62" s="36"/>
      <c r="G62" s="36"/>
      <c r="H62" s="36"/>
      <c r="I62" s="36"/>
      <c r="J62" s="36">
        <f t="shared" si="0"/>
        <v>0</v>
      </c>
      <c r="K62" s="37">
        <f t="shared" si="3"/>
        <v>0</v>
      </c>
      <c r="M62" s="35"/>
      <c r="N62" s="36"/>
      <c r="O62" s="36"/>
      <c r="P62" s="36"/>
      <c r="Q62" s="36"/>
      <c r="R62" s="36"/>
      <c r="S62" s="36">
        <f t="shared" si="1"/>
        <v>0</v>
      </c>
      <c r="T62" s="37">
        <f t="shared" si="4"/>
        <v>0</v>
      </c>
      <c r="U62" s="20"/>
      <c r="V62" s="41"/>
      <c r="W62" s="42"/>
      <c r="X62" s="42"/>
      <c r="Y62" s="42"/>
      <c r="Z62" s="41"/>
      <c r="AA62" s="42"/>
      <c r="AB62" s="43"/>
    </row>
    <row r="63" spans="1:28" x14ac:dyDescent="0.2">
      <c r="A63" s="24"/>
      <c r="B63" s="13" t="s">
        <v>21</v>
      </c>
      <c r="C63" s="13">
        <v>22</v>
      </c>
      <c r="D63" s="14"/>
      <c r="E63" s="15"/>
      <c r="F63" s="15"/>
      <c r="G63" s="15"/>
      <c r="H63" s="15"/>
      <c r="I63" s="15"/>
      <c r="J63" s="15">
        <f t="shared" si="0"/>
        <v>0</v>
      </c>
      <c r="K63" s="16">
        <f t="shared" si="3"/>
        <v>0</v>
      </c>
      <c r="M63" s="14"/>
      <c r="N63" s="15"/>
      <c r="O63" s="15"/>
      <c r="P63" s="15"/>
      <c r="Q63" s="15"/>
      <c r="R63" s="15"/>
      <c r="S63" s="15">
        <f t="shared" si="1"/>
        <v>0</v>
      </c>
      <c r="T63" s="16">
        <f t="shared" si="4"/>
        <v>0</v>
      </c>
      <c r="U63" s="20"/>
      <c r="V63" s="21" t="e">
        <f>bdrate($D63:$D66,E63:E66,$M63:$M66,N63:N66)</f>
        <v>#VALUE!</v>
      </c>
      <c r="W63" s="22" t="e">
        <f>bdrate($D63:$D66,F63:F66,$M63:$M66,O63:O66)</f>
        <v>#VALUE!</v>
      </c>
      <c r="X63" s="22" t="e">
        <f>bdrate($D63:$D66,G63:G66,$M63:$M66,P63:P66)</f>
        <v>#VALUE!</v>
      </c>
      <c r="Y63" s="22" t="e">
        <f>bdrate(D63:D66,J63:J66,M63:M66,S63:S66)</f>
        <v>#VALUE!</v>
      </c>
      <c r="Z63" s="44" t="e">
        <f>bdrateOld($D63:$D66,E63:E66,$M63:$M66,N63:N66)</f>
        <v>#VALUE!</v>
      </c>
      <c r="AA63" s="45" t="e">
        <f>bdrateOld($D63:$D66,F63:F66,$M63:$M66,O63:O66)</f>
        <v>#VALUE!</v>
      </c>
      <c r="AB63" s="46" t="e">
        <f>bdrateOld($D63:$D66,G63:G66,$M63:$M66,P63:P66)</f>
        <v>#VALUE!</v>
      </c>
    </row>
    <row r="64" spans="1:28" x14ac:dyDescent="0.2">
      <c r="A64" s="24"/>
      <c r="B64" s="24"/>
      <c r="C64" s="24">
        <v>27</v>
      </c>
      <c r="D64" s="25"/>
      <c r="E64" s="26"/>
      <c r="F64" s="26"/>
      <c r="G64" s="26"/>
      <c r="H64" s="26"/>
      <c r="I64" s="26"/>
      <c r="J64" s="26">
        <f t="shared" si="0"/>
        <v>0</v>
      </c>
      <c r="K64" s="27">
        <f t="shared" si="3"/>
        <v>0</v>
      </c>
      <c r="M64" s="25"/>
      <c r="N64" s="26"/>
      <c r="O64" s="26"/>
      <c r="P64" s="26"/>
      <c r="Q64" s="26"/>
      <c r="R64" s="26"/>
      <c r="S64" s="26">
        <f t="shared" si="1"/>
        <v>0</v>
      </c>
      <c r="T64" s="27">
        <f t="shared" si="4"/>
        <v>0</v>
      </c>
      <c r="U64" s="20"/>
      <c r="V64" s="31"/>
      <c r="W64" s="32"/>
      <c r="X64" s="32"/>
      <c r="Y64" s="32"/>
      <c r="Z64" s="31"/>
      <c r="AA64" s="32"/>
      <c r="AB64" s="33"/>
    </row>
    <row r="65" spans="1:28" x14ac:dyDescent="0.2">
      <c r="A65" s="24"/>
      <c r="B65" s="24"/>
      <c r="C65" s="24">
        <v>32</v>
      </c>
      <c r="D65" s="25"/>
      <c r="E65" s="26"/>
      <c r="F65" s="26"/>
      <c r="G65" s="26"/>
      <c r="H65" s="26"/>
      <c r="I65" s="26"/>
      <c r="J65" s="26">
        <f t="shared" si="0"/>
        <v>0</v>
      </c>
      <c r="K65" s="27">
        <f t="shared" si="3"/>
        <v>0</v>
      </c>
      <c r="M65" s="25"/>
      <c r="N65" s="26"/>
      <c r="O65" s="26"/>
      <c r="P65" s="26"/>
      <c r="Q65" s="26"/>
      <c r="R65" s="26"/>
      <c r="S65" s="26">
        <f t="shared" si="1"/>
        <v>0</v>
      </c>
      <c r="T65" s="27">
        <f t="shared" si="4"/>
        <v>0</v>
      </c>
      <c r="U65" s="20"/>
      <c r="V65" s="31"/>
      <c r="W65" s="32"/>
      <c r="X65" s="32"/>
      <c r="Y65" s="32"/>
      <c r="Z65" s="31"/>
      <c r="AA65" s="32"/>
      <c r="AB65" s="33"/>
    </row>
    <row r="66" spans="1:28" ht="12.75" thickBot="1" x14ac:dyDescent="0.25">
      <c r="A66" s="24"/>
      <c r="B66" s="34"/>
      <c r="C66" s="34">
        <v>37</v>
      </c>
      <c r="D66" s="35"/>
      <c r="E66" s="36"/>
      <c r="F66" s="36"/>
      <c r="G66" s="36"/>
      <c r="H66" s="36"/>
      <c r="I66" s="36"/>
      <c r="J66" s="36">
        <f t="shared" si="0"/>
        <v>0</v>
      </c>
      <c r="K66" s="37">
        <f t="shared" si="3"/>
        <v>0</v>
      </c>
      <c r="M66" s="35"/>
      <c r="N66" s="36"/>
      <c r="O66" s="36"/>
      <c r="P66" s="36"/>
      <c r="Q66" s="36"/>
      <c r="R66" s="36"/>
      <c r="S66" s="36">
        <f t="shared" si="1"/>
        <v>0</v>
      </c>
      <c r="T66" s="37">
        <f t="shared" si="4"/>
        <v>0</v>
      </c>
      <c r="U66" s="20"/>
      <c r="V66" s="41"/>
      <c r="W66" s="42"/>
      <c r="X66" s="42"/>
      <c r="Y66" s="42"/>
      <c r="Z66" s="41"/>
      <c r="AA66" s="42"/>
      <c r="AB66" s="43"/>
    </row>
    <row r="67" spans="1:28" x14ac:dyDescent="0.2">
      <c r="A67" s="24"/>
      <c r="B67" s="13" t="s">
        <v>16</v>
      </c>
      <c r="C67" s="13">
        <v>22</v>
      </c>
      <c r="D67" s="14"/>
      <c r="E67" s="15"/>
      <c r="F67" s="15"/>
      <c r="G67" s="15"/>
      <c r="H67" s="15"/>
      <c r="I67" s="15"/>
      <c r="J67" s="15">
        <f t="shared" si="0"/>
        <v>0</v>
      </c>
      <c r="K67" s="16">
        <f t="shared" si="3"/>
        <v>0</v>
      </c>
      <c r="M67" s="14"/>
      <c r="N67" s="15"/>
      <c r="O67" s="15"/>
      <c r="P67" s="15"/>
      <c r="Q67" s="15"/>
      <c r="R67" s="15"/>
      <c r="S67" s="15">
        <f t="shared" si="1"/>
        <v>0</v>
      </c>
      <c r="T67" s="16">
        <f t="shared" si="4"/>
        <v>0</v>
      </c>
      <c r="U67" s="20"/>
      <c r="V67" s="21" t="e">
        <f>bdrate($D67:$D70,E67:E70,$M67:$M70,N67:N70)</f>
        <v>#VALUE!</v>
      </c>
      <c r="W67" s="22" t="e">
        <f>bdrate($D67:$D70,F67:F70,$M67:$M70,O67:O70)</f>
        <v>#VALUE!</v>
      </c>
      <c r="X67" s="22" t="e">
        <f>bdrate($D67:$D70,G67:G70,$M67:$M70,P67:P70)</f>
        <v>#VALUE!</v>
      </c>
      <c r="Y67" s="22" t="e">
        <f>bdrate(D67:D70,J67:J70,M67:M70,S67:S70)</f>
        <v>#VALUE!</v>
      </c>
      <c r="Z67" s="44" t="e">
        <f>bdrateOld($D67:$D70,E67:E70,$M67:$M70,N67:N70)</f>
        <v>#VALUE!</v>
      </c>
      <c r="AA67" s="45" t="e">
        <f>bdrateOld($D67:$D70,F67:F70,$M67:$M70,O67:O70)</f>
        <v>#VALUE!</v>
      </c>
      <c r="AB67" s="46" t="e">
        <f>bdrateOld($D67:$D70,G67:G70,$M67:$M70,P67:P70)</f>
        <v>#VALUE!</v>
      </c>
    </row>
    <row r="68" spans="1:28" x14ac:dyDescent="0.2">
      <c r="A68" s="24"/>
      <c r="B68" s="24"/>
      <c r="C68" s="24">
        <v>27</v>
      </c>
      <c r="D68" s="25"/>
      <c r="E68" s="26"/>
      <c r="F68" s="26"/>
      <c r="G68" s="26"/>
      <c r="H68" s="26"/>
      <c r="I68" s="26"/>
      <c r="J68" s="26">
        <f>(6*E68+F68+G68)/8</f>
        <v>0</v>
      </c>
      <c r="K68" s="27">
        <f t="shared" si="3"/>
        <v>0</v>
      </c>
      <c r="M68" s="25"/>
      <c r="N68" s="26"/>
      <c r="O68" s="26"/>
      <c r="P68" s="26"/>
      <c r="Q68" s="26"/>
      <c r="R68" s="26"/>
      <c r="S68" s="26">
        <f>(6*N68+O68+P68)/8</f>
        <v>0</v>
      </c>
      <c r="T68" s="27">
        <f t="shared" si="4"/>
        <v>0</v>
      </c>
      <c r="U68" s="20"/>
      <c r="V68" s="31"/>
      <c r="W68" s="32"/>
      <c r="X68" s="32"/>
      <c r="Y68" s="32"/>
      <c r="Z68" s="31"/>
      <c r="AA68" s="32"/>
      <c r="AB68" s="33"/>
    </row>
    <row r="69" spans="1:28" x14ac:dyDescent="0.2">
      <c r="A69" s="24"/>
      <c r="B69" s="24"/>
      <c r="C69" s="24">
        <v>32</v>
      </c>
      <c r="D69" s="25"/>
      <c r="E69" s="26"/>
      <c r="F69" s="26"/>
      <c r="G69" s="26"/>
      <c r="H69" s="26"/>
      <c r="I69" s="26"/>
      <c r="J69" s="26">
        <f>(6*E69+F69+G69)/8</f>
        <v>0</v>
      </c>
      <c r="K69" s="27">
        <f t="shared" si="3"/>
        <v>0</v>
      </c>
      <c r="M69" s="25"/>
      <c r="N69" s="26"/>
      <c r="O69" s="26"/>
      <c r="P69" s="26"/>
      <c r="Q69" s="26"/>
      <c r="R69" s="26"/>
      <c r="S69" s="26">
        <f>(6*N69+O69+P69)/8</f>
        <v>0</v>
      </c>
      <c r="T69" s="27">
        <f t="shared" si="4"/>
        <v>0</v>
      </c>
      <c r="U69" s="20"/>
      <c r="V69" s="31"/>
      <c r="W69" s="32"/>
      <c r="X69" s="32"/>
      <c r="Y69" s="32"/>
      <c r="Z69" s="31"/>
      <c r="AA69" s="32"/>
      <c r="AB69" s="33"/>
    </row>
    <row r="70" spans="1:28" ht="12.75" thickBot="1" x14ac:dyDescent="0.25">
      <c r="A70" s="34"/>
      <c r="B70" s="34"/>
      <c r="C70" s="34">
        <v>37</v>
      </c>
      <c r="D70" s="35"/>
      <c r="E70" s="36"/>
      <c r="F70" s="36"/>
      <c r="G70" s="36"/>
      <c r="H70" s="36"/>
      <c r="I70" s="36"/>
      <c r="J70" s="36">
        <f>(6*E70+F70+G70)/8</f>
        <v>0</v>
      </c>
      <c r="K70" s="37">
        <f t="shared" si="3"/>
        <v>0</v>
      </c>
      <c r="M70" s="35"/>
      <c r="N70" s="36"/>
      <c r="O70" s="36"/>
      <c r="P70" s="36"/>
      <c r="Q70" s="36"/>
      <c r="R70" s="36"/>
      <c r="S70" s="36">
        <f>(6*N70+O70+P70)/8</f>
        <v>0</v>
      </c>
      <c r="T70" s="37">
        <f t="shared" si="4"/>
        <v>0</v>
      </c>
      <c r="U70" s="20"/>
      <c r="V70" s="41"/>
      <c r="W70" s="42"/>
      <c r="X70" s="42"/>
      <c r="Y70" s="42"/>
      <c r="Z70" s="41"/>
      <c r="AA70" s="42"/>
      <c r="AB70" s="43"/>
    </row>
    <row r="71" spans="1:28" x14ac:dyDescent="0.2">
      <c r="A71" s="13" t="s">
        <v>22</v>
      </c>
      <c r="B71" s="58" t="s">
        <v>51</v>
      </c>
      <c r="C71" s="13">
        <v>22</v>
      </c>
      <c r="D71" s="14"/>
      <c r="E71" s="15"/>
      <c r="F71" s="15"/>
      <c r="G71" s="15"/>
      <c r="H71" s="15"/>
      <c r="I71" s="15"/>
      <c r="J71" s="15">
        <f t="shared" ref="J71:J95" si="5">(6*E71+F71+G71)/8</f>
        <v>0</v>
      </c>
      <c r="K71" s="16">
        <f t="shared" si="3"/>
        <v>0</v>
      </c>
      <c r="M71" s="14"/>
      <c r="N71" s="15"/>
      <c r="O71" s="15"/>
      <c r="P71" s="15"/>
      <c r="Q71" s="15"/>
      <c r="R71" s="15"/>
      <c r="S71" s="15">
        <f t="shared" ref="S71:S95" si="6">(6*N71+O71+P71)/8</f>
        <v>0</v>
      </c>
      <c r="T71" s="16">
        <f t="shared" si="4"/>
        <v>0</v>
      </c>
      <c r="U71" s="20"/>
      <c r="V71" s="61" t="e">
        <f t="shared" ref="V71:X71" si="7">bdrate($D71:$D74,E71:E74,$M71:$M74,N71:N74)</f>
        <v>#VALUE!</v>
      </c>
      <c r="W71" s="62" t="e">
        <f t="shared" si="7"/>
        <v>#VALUE!</v>
      </c>
      <c r="X71" s="62" t="e">
        <f t="shared" si="7"/>
        <v>#VALUE!</v>
      </c>
      <c r="Y71" s="62" t="e">
        <f t="shared" ref="Y71" si="8">bdrate(D71:D74,J71:J74,M71:M74,S71:S74)</f>
        <v>#VALUE!</v>
      </c>
      <c r="Z71" s="73" t="e">
        <f t="shared" ref="Z71:AB71" si="9">bdrateOld($D71:$D74,E71:E74,$M71:$M74,N71:N74)</f>
        <v>#VALUE!</v>
      </c>
      <c r="AA71" s="74" t="e">
        <f t="shared" si="9"/>
        <v>#VALUE!</v>
      </c>
      <c r="AB71" s="75" t="e">
        <f t="shared" si="9"/>
        <v>#VALUE!</v>
      </c>
    </row>
    <row r="72" spans="1:28" x14ac:dyDescent="0.2">
      <c r="A72" s="24" t="s">
        <v>23</v>
      </c>
      <c r="B72" s="24"/>
      <c r="C72" s="24">
        <v>27</v>
      </c>
      <c r="D72" s="25"/>
      <c r="E72" s="26"/>
      <c r="F72" s="26"/>
      <c r="G72" s="26"/>
      <c r="H72" s="26"/>
      <c r="I72" s="26"/>
      <c r="J72" s="26">
        <f t="shared" si="5"/>
        <v>0</v>
      </c>
      <c r="K72" s="27">
        <f t="shared" ref="K72:K98" si="10">H72/3600</f>
        <v>0</v>
      </c>
      <c r="M72" s="25"/>
      <c r="N72" s="26"/>
      <c r="O72" s="26"/>
      <c r="P72" s="26"/>
      <c r="Q72" s="26"/>
      <c r="R72" s="26"/>
      <c r="S72" s="26">
        <f t="shared" si="6"/>
        <v>0</v>
      </c>
      <c r="T72" s="27">
        <f t="shared" ref="T72:T98" si="11">Q72/3600</f>
        <v>0</v>
      </c>
      <c r="U72" s="20"/>
      <c r="V72" s="65"/>
      <c r="W72" s="66"/>
      <c r="X72" s="66"/>
      <c r="Y72" s="66"/>
      <c r="Z72" s="65"/>
      <c r="AA72" s="66"/>
      <c r="AB72" s="67"/>
    </row>
    <row r="73" spans="1:28" x14ac:dyDescent="0.2">
      <c r="A73" s="24"/>
      <c r="B73" s="24"/>
      <c r="C73" s="24">
        <v>32</v>
      </c>
      <c r="D73" s="25"/>
      <c r="E73" s="26"/>
      <c r="F73" s="26"/>
      <c r="G73" s="26"/>
      <c r="H73" s="26"/>
      <c r="I73" s="26"/>
      <c r="J73" s="26">
        <f t="shared" si="5"/>
        <v>0</v>
      </c>
      <c r="K73" s="27">
        <f t="shared" si="10"/>
        <v>0</v>
      </c>
      <c r="M73" s="25"/>
      <c r="N73" s="26"/>
      <c r="O73" s="26"/>
      <c r="P73" s="26"/>
      <c r="Q73" s="26"/>
      <c r="R73" s="26"/>
      <c r="S73" s="26">
        <f t="shared" si="6"/>
        <v>0</v>
      </c>
      <c r="T73" s="27">
        <f t="shared" si="11"/>
        <v>0</v>
      </c>
      <c r="U73" s="20"/>
      <c r="V73" s="65"/>
      <c r="W73" s="66"/>
      <c r="X73" s="66"/>
      <c r="Y73" s="66"/>
      <c r="Z73" s="65"/>
      <c r="AA73" s="66"/>
      <c r="AB73" s="67"/>
    </row>
    <row r="74" spans="1:28" ht="12.75" thickBot="1" x14ac:dyDescent="0.25">
      <c r="A74" s="24"/>
      <c r="B74" s="34"/>
      <c r="C74" s="34">
        <v>37</v>
      </c>
      <c r="D74" s="35"/>
      <c r="E74" s="36"/>
      <c r="F74" s="36"/>
      <c r="G74" s="36"/>
      <c r="H74" s="36"/>
      <c r="I74" s="36"/>
      <c r="J74" s="36">
        <f t="shared" si="5"/>
        <v>0</v>
      </c>
      <c r="K74" s="37">
        <f t="shared" si="10"/>
        <v>0</v>
      </c>
      <c r="M74" s="35"/>
      <c r="N74" s="36"/>
      <c r="O74" s="36"/>
      <c r="P74" s="36"/>
      <c r="Q74" s="36"/>
      <c r="R74" s="36"/>
      <c r="S74" s="36">
        <f t="shared" si="6"/>
        <v>0</v>
      </c>
      <c r="T74" s="37">
        <f t="shared" si="11"/>
        <v>0</v>
      </c>
      <c r="U74" s="20"/>
      <c r="V74" s="70"/>
      <c r="W74" s="71"/>
      <c r="X74" s="71"/>
      <c r="Y74" s="71"/>
      <c r="Z74" s="70"/>
      <c r="AA74" s="71"/>
      <c r="AB74" s="72"/>
    </row>
    <row r="75" spans="1:28" x14ac:dyDescent="0.2">
      <c r="A75" s="24"/>
      <c r="B75" s="58" t="s">
        <v>52</v>
      </c>
      <c r="C75" s="13">
        <v>22</v>
      </c>
      <c r="D75" s="14"/>
      <c r="E75" s="15"/>
      <c r="F75" s="15"/>
      <c r="G75" s="15"/>
      <c r="H75" s="15"/>
      <c r="I75" s="15"/>
      <c r="J75" s="15">
        <f t="shared" si="5"/>
        <v>0</v>
      </c>
      <c r="K75" s="16">
        <f t="shared" si="10"/>
        <v>0</v>
      </c>
      <c r="M75" s="14"/>
      <c r="N75" s="15"/>
      <c r="O75" s="15"/>
      <c r="P75" s="15"/>
      <c r="Q75" s="15"/>
      <c r="R75" s="15"/>
      <c r="S75" s="15">
        <f t="shared" si="6"/>
        <v>0</v>
      </c>
      <c r="T75" s="16">
        <f t="shared" si="11"/>
        <v>0</v>
      </c>
      <c r="U75" s="20"/>
      <c r="V75" s="61" t="e">
        <f t="shared" ref="V75:X75" si="12">bdrate($D75:$D78,E75:E78,$M75:$M78,N75:N78)</f>
        <v>#VALUE!</v>
      </c>
      <c r="W75" s="62" t="e">
        <f t="shared" si="12"/>
        <v>#VALUE!</v>
      </c>
      <c r="X75" s="62" t="e">
        <f t="shared" si="12"/>
        <v>#VALUE!</v>
      </c>
      <c r="Y75" s="62" t="e">
        <f t="shared" ref="Y75" si="13">bdrate(D75:D78,J75:J78,M75:M78,S75:S78)</f>
        <v>#VALUE!</v>
      </c>
      <c r="Z75" s="73" t="e">
        <f t="shared" ref="Z75:AB75" si="14">bdrateOld($D75:$D78,E75:E78,$M75:$M78,N75:N78)</f>
        <v>#VALUE!</v>
      </c>
      <c r="AA75" s="74" t="e">
        <f t="shared" si="14"/>
        <v>#VALUE!</v>
      </c>
      <c r="AB75" s="75" t="e">
        <f t="shared" si="14"/>
        <v>#VALUE!</v>
      </c>
    </row>
    <row r="76" spans="1:28" x14ac:dyDescent="0.2">
      <c r="A76" s="24"/>
      <c r="B76" s="24"/>
      <c r="C76" s="24">
        <v>27</v>
      </c>
      <c r="D76" s="25"/>
      <c r="E76" s="26"/>
      <c r="F76" s="26"/>
      <c r="G76" s="26"/>
      <c r="H76" s="26"/>
      <c r="I76" s="26"/>
      <c r="J76" s="26">
        <f t="shared" si="5"/>
        <v>0</v>
      </c>
      <c r="K76" s="27">
        <f t="shared" si="10"/>
        <v>0</v>
      </c>
      <c r="M76" s="25"/>
      <c r="N76" s="26"/>
      <c r="O76" s="26"/>
      <c r="P76" s="26"/>
      <c r="Q76" s="26"/>
      <c r="R76" s="26"/>
      <c r="S76" s="26">
        <f t="shared" si="6"/>
        <v>0</v>
      </c>
      <c r="T76" s="27">
        <f t="shared" si="11"/>
        <v>0</v>
      </c>
      <c r="U76" s="20"/>
      <c r="V76" s="65"/>
      <c r="W76" s="66"/>
      <c r="X76" s="66"/>
      <c r="Y76" s="66"/>
      <c r="Z76" s="65"/>
      <c r="AA76" s="66"/>
      <c r="AB76" s="67"/>
    </row>
    <row r="77" spans="1:28" x14ac:dyDescent="0.2">
      <c r="A77" s="24"/>
      <c r="B77" s="24"/>
      <c r="C77" s="24">
        <v>32</v>
      </c>
      <c r="D77" s="25"/>
      <c r="E77" s="26"/>
      <c r="F77" s="26"/>
      <c r="G77" s="26"/>
      <c r="H77" s="26"/>
      <c r="I77" s="26"/>
      <c r="J77" s="26">
        <f t="shared" si="5"/>
        <v>0</v>
      </c>
      <c r="K77" s="27">
        <f t="shared" si="10"/>
        <v>0</v>
      </c>
      <c r="M77" s="25"/>
      <c r="N77" s="26"/>
      <c r="O77" s="26"/>
      <c r="P77" s="26"/>
      <c r="Q77" s="26"/>
      <c r="R77" s="26"/>
      <c r="S77" s="26">
        <f t="shared" si="6"/>
        <v>0</v>
      </c>
      <c r="T77" s="27">
        <f t="shared" si="11"/>
        <v>0</v>
      </c>
      <c r="U77" s="20"/>
      <c r="V77" s="65"/>
      <c r="W77" s="66"/>
      <c r="X77" s="66"/>
      <c r="Y77" s="66"/>
      <c r="Z77" s="65"/>
      <c r="AA77" s="66"/>
      <c r="AB77" s="67"/>
    </row>
    <row r="78" spans="1:28" ht="12.75" thickBot="1" x14ac:dyDescent="0.25">
      <c r="A78" s="24"/>
      <c r="B78" s="34"/>
      <c r="C78" s="34">
        <v>37</v>
      </c>
      <c r="D78" s="35"/>
      <c r="E78" s="36"/>
      <c r="F78" s="36"/>
      <c r="G78" s="36"/>
      <c r="H78" s="36"/>
      <c r="I78" s="36"/>
      <c r="J78" s="36">
        <f t="shared" si="5"/>
        <v>0</v>
      </c>
      <c r="K78" s="37">
        <f t="shared" si="10"/>
        <v>0</v>
      </c>
      <c r="M78" s="35"/>
      <c r="N78" s="36"/>
      <c r="O78" s="36"/>
      <c r="P78" s="36"/>
      <c r="Q78" s="36"/>
      <c r="R78" s="36"/>
      <c r="S78" s="36">
        <f t="shared" si="6"/>
        <v>0</v>
      </c>
      <c r="T78" s="37">
        <f t="shared" si="11"/>
        <v>0</v>
      </c>
      <c r="U78" s="20"/>
      <c r="V78" s="70"/>
      <c r="W78" s="71"/>
      <c r="X78" s="71"/>
      <c r="Y78" s="71"/>
      <c r="Z78" s="70"/>
      <c r="AA78" s="71"/>
      <c r="AB78" s="72"/>
    </row>
    <row r="79" spans="1:28" x14ac:dyDescent="0.2">
      <c r="A79" s="24"/>
      <c r="B79" s="58" t="s">
        <v>53</v>
      </c>
      <c r="C79" s="13">
        <v>22</v>
      </c>
      <c r="D79" s="14"/>
      <c r="E79" s="15"/>
      <c r="F79" s="15"/>
      <c r="G79" s="15"/>
      <c r="H79" s="15"/>
      <c r="I79" s="15"/>
      <c r="J79" s="15">
        <f t="shared" si="5"/>
        <v>0</v>
      </c>
      <c r="K79" s="16">
        <f t="shared" si="10"/>
        <v>0</v>
      </c>
      <c r="M79" s="14"/>
      <c r="N79" s="15"/>
      <c r="O79" s="15"/>
      <c r="P79" s="15"/>
      <c r="Q79" s="15"/>
      <c r="R79" s="15"/>
      <c r="S79" s="15">
        <f t="shared" si="6"/>
        <v>0</v>
      </c>
      <c r="T79" s="16">
        <f t="shared" si="11"/>
        <v>0</v>
      </c>
      <c r="U79" s="20"/>
      <c r="V79" s="61" t="e">
        <f t="shared" ref="V79:X79" si="15">bdrate($D79:$D82,E79:E82,$M79:$M82,N79:N82)</f>
        <v>#VALUE!</v>
      </c>
      <c r="W79" s="62" t="e">
        <f t="shared" si="15"/>
        <v>#VALUE!</v>
      </c>
      <c r="X79" s="62" t="e">
        <f t="shared" si="15"/>
        <v>#VALUE!</v>
      </c>
      <c r="Y79" s="62" t="e">
        <f t="shared" ref="Y79" si="16">bdrate(D79:D82,J79:J82,M79:M82,S79:S82)</f>
        <v>#VALUE!</v>
      </c>
      <c r="Z79" s="73" t="e">
        <f t="shared" ref="Z79:AB79" si="17">bdrateOld($D79:$D82,E79:E82,$M79:$M82,N79:N82)</f>
        <v>#VALUE!</v>
      </c>
      <c r="AA79" s="74" t="e">
        <f t="shared" si="17"/>
        <v>#VALUE!</v>
      </c>
      <c r="AB79" s="75" t="e">
        <f t="shared" si="17"/>
        <v>#VALUE!</v>
      </c>
    </row>
    <row r="80" spans="1:28" x14ac:dyDescent="0.2">
      <c r="A80" s="24"/>
      <c r="B80" s="24"/>
      <c r="C80" s="24">
        <v>27</v>
      </c>
      <c r="D80" s="25"/>
      <c r="E80" s="26"/>
      <c r="F80" s="26"/>
      <c r="G80" s="26"/>
      <c r="H80" s="26"/>
      <c r="I80" s="26"/>
      <c r="J80" s="26">
        <f t="shared" si="5"/>
        <v>0</v>
      </c>
      <c r="K80" s="27">
        <f t="shared" si="10"/>
        <v>0</v>
      </c>
      <c r="M80" s="25"/>
      <c r="N80" s="26"/>
      <c r="O80" s="26"/>
      <c r="P80" s="26"/>
      <c r="Q80" s="26"/>
      <c r="R80" s="26"/>
      <c r="S80" s="26">
        <f t="shared" si="6"/>
        <v>0</v>
      </c>
      <c r="T80" s="27">
        <f t="shared" si="11"/>
        <v>0</v>
      </c>
      <c r="U80" s="20"/>
      <c r="V80" s="65"/>
      <c r="W80" s="66"/>
      <c r="X80" s="66"/>
      <c r="Y80" s="66"/>
      <c r="Z80" s="65"/>
      <c r="AA80" s="66"/>
      <c r="AB80" s="67"/>
    </row>
    <row r="81" spans="1:28" x14ac:dyDescent="0.2">
      <c r="A81" s="24"/>
      <c r="B81" s="24"/>
      <c r="C81" s="24">
        <v>32</v>
      </c>
      <c r="D81" s="25"/>
      <c r="E81" s="26"/>
      <c r="F81" s="26"/>
      <c r="G81" s="26"/>
      <c r="H81" s="26"/>
      <c r="I81" s="26"/>
      <c r="J81" s="26">
        <f t="shared" si="5"/>
        <v>0</v>
      </c>
      <c r="K81" s="27">
        <f t="shared" si="10"/>
        <v>0</v>
      </c>
      <c r="M81" s="25"/>
      <c r="N81" s="26"/>
      <c r="O81" s="26"/>
      <c r="P81" s="26"/>
      <c r="Q81" s="26"/>
      <c r="R81" s="26"/>
      <c r="S81" s="26">
        <f t="shared" si="6"/>
        <v>0</v>
      </c>
      <c r="T81" s="27">
        <f t="shared" si="11"/>
        <v>0</v>
      </c>
      <c r="U81" s="20"/>
      <c r="V81" s="65"/>
      <c r="W81" s="66"/>
      <c r="X81" s="66"/>
      <c r="Y81" s="66"/>
      <c r="Z81" s="65"/>
      <c r="AA81" s="66"/>
      <c r="AB81" s="67"/>
    </row>
    <row r="82" spans="1:28" ht="12.75" thickBot="1" x14ac:dyDescent="0.25">
      <c r="A82" s="34"/>
      <c r="B82" s="34"/>
      <c r="C82" s="34">
        <v>37</v>
      </c>
      <c r="D82" s="35"/>
      <c r="E82" s="36"/>
      <c r="F82" s="36"/>
      <c r="G82" s="36"/>
      <c r="H82" s="36"/>
      <c r="I82" s="36"/>
      <c r="J82" s="36">
        <f t="shared" si="5"/>
        <v>0</v>
      </c>
      <c r="K82" s="37">
        <f t="shared" si="10"/>
        <v>0</v>
      </c>
      <c r="M82" s="35"/>
      <c r="N82" s="36"/>
      <c r="O82" s="36"/>
      <c r="P82" s="36"/>
      <c r="Q82" s="36"/>
      <c r="R82" s="36"/>
      <c r="S82" s="36">
        <f t="shared" si="6"/>
        <v>0</v>
      </c>
      <c r="T82" s="37">
        <f t="shared" si="11"/>
        <v>0</v>
      </c>
      <c r="U82" s="20"/>
      <c r="V82" s="70"/>
      <c r="W82" s="71"/>
      <c r="X82" s="71"/>
      <c r="Y82" s="71"/>
      <c r="Z82" s="70"/>
      <c r="AA82" s="71"/>
      <c r="AB82" s="72"/>
    </row>
    <row r="83" spans="1:28" s="57" customFormat="1" x14ac:dyDescent="0.2">
      <c r="A83" s="58" t="s">
        <v>45</v>
      </c>
      <c r="B83" s="58" t="s">
        <v>47</v>
      </c>
      <c r="C83" s="58">
        <v>22</v>
      </c>
      <c r="D83" s="77"/>
      <c r="E83" s="78"/>
      <c r="F83" s="78"/>
      <c r="G83" s="78"/>
      <c r="H83" s="78"/>
      <c r="I83" s="78"/>
      <c r="J83" s="78">
        <f t="shared" si="5"/>
        <v>0</v>
      </c>
      <c r="K83" s="59">
        <f t="shared" si="10"/>
        <v>0</v>
      </c>
      <c r="M83" s="77"/>
      <c r="N83" s="78"/>
      <c r="O83" s="78"/>
      <c r="P83" s="78"/>
      <c r="Q83" s="78"/>
      <c r="R83" s="78"/>
      <c r="S83" s="78">
        <f t="shared" si="6"/>
        <v>0</v>
      </c>
      <c r="T83" s="59">
        <f t="shared" si="11"/>
        <v>0</v>
      </c>
      <c r="U83" s="60"/>
      <c r="V83" s="61" t="e">
        <f>bdrate($D83:$D86,E83:E86,$M83:$M86,N83:N86)</f>
        <v>#VALUE!</v>
      </c>
      <c r="W83" s="62" t="e">
        <f>bdrate($D83:$D86,F83:F86,$M83:$M86,O83:O86)</f>
        <v>#VALUE!</v>
      </c>
      <c r="X83" s="62" t="e">
        <f>bdrate($D83:$D86,G83:G86,$M83:$M86,P83:P86)</f>
        <v>#VALUE!</v>
      </c>
      <c r="Y83" s="62" t="e">
        <f>bdrate(D83:D86,J83:J86,M83:M86,S83:S86)</f>
        <v>#VALUE!</v>
      </c>
      <c r="Z83" s="73" t="e">
        <f>bdrateOld($D83:$D86,E83:E86,$M83:$M86,N83:N86)</f>
        <v>#VALUE!</v>
      </c>
      <c r="AA83" s="74" t="e">
        <f>bdrateOld($D83:$D86,F83:F86,$M83:$M86,O83:O86)</f>
        <v>#VALUE!</v>
      </c>
      <c r="AB83" s="75" t="e">
        <f>bdrateOld($D83:$D86,G83:G86,$M83:$M86,P83:P86)</f>
        <v>#VALUE!</v>
      </c>
    </row>
    <row r="84" spans="1:28" s="57" customFormat="1" x14ac:dyDescent="0.2">
      <c r="A84" s="63" t="s">
        <v>46</v>
      </c>
      <c r="B84" s="63"/>
      <c r="C84" s="63">
        <v>27</v>
      </c>
      <c r="D84" s="79"/>
      <c r="E84" s="80"/>
      <c r="F84" s="80"/>
      <c r="G84" s="80"/>
      <c r="H84" s="80"/>
      <c r="I84" s="80"/>
      <c r="J84" s="80">
        <f t="shared" si="5"/>
        <v>0</v>
      </c>
      <c r="K84" s="64">
        <f t="shared" si="10"/>
        <v>0</v>
      </c>
      <c r="M84" s="79"/>
      <c r="N84" s="80"/>
      <c r="O84" s="80"/>
      <c r="P84" s="80"/>
      <c r="Q84" s="80"/>
      <c r="R84" s="80"/>
      <c r="S84" s="80">
        <f t="shared" si="6"/>
        <v>0</v>
      </c>
      <c r="T84" s="64">
        <f t="shared" si="11"/>
        <v>0</v>
      </c>
      <c r="U84" s="60"/>
      <c r="V84" s="65"/>
      <c r="W84" s="66"/>
      <c r="X84" s="66"/>
      <c r="Y84" s="66"/>
      <c r="Z84" s="65"/>
      <c r="AA84" s="66"/>
      <c r="AB84" s="67"/>
    </row>
    <row r="85" spans="1:28" s="57" customFormat="1" x14ac:dyDescent="0.2">
      <c r="A85" s="63"/>
      <c r="B85" s="63"/>
      <c r="C85" s="63">
        <v>32</v>
      </c>
      <c r="D85" s="79"/>
      <c r="E85" s="80"/>
      <c r="F85" s="80"/>
      <c r="G85" s="80"/>
      <c r="H85" s="80"/>
      <c r="I85" s="80"/>
      <c r="J85" s="80">
        <f t="shared" si="5"/>
        <v>0</v>
      </c>
      <c r="K85" s="64">
        <f t="shared" si="10"/>
        <v>0</v>
      </c>
      <c r="M85" s="79"/>
      <c r="N85" s="80"/>
      <c r="O85" s="80"/>
      <c r="P85" s="80"/>
      <c r="Q85" s="80"/>
      <c r="R85" s="80"/>
      <c r="S85" s="80">
        <f t="shared" si="6"/>
        <v>0</v>
      </c>
      <c r="T85" s="64">
        <f t="shared" si="11"/>
        <v>0</v>
      </c>
      <c r="U85" s="60"/>
      <c r="V85" s="65"/>
      <c r="W85" s="66"/>
      <c r="X85" s="66"/>
      <c r="Y85" s="66"/>
      <c r="Z85" s="65"/>
      <c r="AA85" s="66"/>
      <c r="AB85" s="67"/>
    </row>
    <row r="86" spans="1:28" s="57" customFormat="1" ht="12.75" thickBot="1" x14ac:dyDescent="0.25">
      <c r="A86" s="63"/>
      <c r="B86" s="68"/>
      <c r="C86" s="68">
        <v>37</v>
      </c>
      <c r="D86" s="81"/>
      <c r="E86" s="82"/>
      <c r="F86" s="82"/>
      <c r="G86" s="82"/>
      <c r="H86" s="82"/>
      <c r="I86" s="82"/>
      <c r="J86" s="82">
        <f t="shared" si="5"/>
        <v>0</v>
      </c>
      <c r="K86" s="69">
        <f t="shared" si="10"/>
        <v>0</v>
      </c>
      <c r="M86" s="81"/>
      <c r="N86" s="82"/>
      <c r="O86" s="82"/>
      <c r="P86" s="82"/>
      <c r="Q86" s="82"/>
      <c r="R86" s="82"/>
      <c r="S86" s="82">
        <f t="shared" si="6"/>
        <v>0</v>
      </c>
      <c r="T86" s="69">
        <f t="shared" si="11"/>
        <v>0</v>
      </c>
      <c r="U86" s="60"/>
      <c r="V86" s="70"/>
      <c r="W86" s="71"/>
      <c r="X86" s="71"/>
      <c r="Y86" s="71"/>
      <c r="Z86" s="70"/>
      <c r="AA86" s="71"/>
      <c r="AB86" s="72"/>
    </row>
    <row r="87" spans="1:28" s="57" customFormat="1" x14ac:dyDescent="0.2">
      <c r="A87" s="63"/>
      <c r="B87" s="58" t="s">
        <v>48</v>
      </c>
      <c r="C87" s="58">
        <v>22</v>
      </c>
      <c r="D87" s="77"/>
      <c r="E87" s="78"/>
      <c r="F87" s="78"/>
      <c r="G87" s="78"/>
      <c r="H87" s="78"/>
      <c r="I87" s="78"/>
      <c r="J87" s="78">
        <f t="shared" si="5"/>
        <v>0</v>
      </c>
      <c r="K87" s="59">
        <f t="shared" si="10"/>
        <v>0</v>
      </c>
      <c r="M87" s="77"/>
      <c r="N87" s="78"/>
      <c r="O87" s="78"/>
      <c r="P87" s="78"/>
      <c r="Q87" s="78"/>
      <c r="R87" s="78"/>
      <c r="S87" s="78">
        <f t="shared" si="6"/>
        <v>0</v>
      </c>
      <c r="T87" s="59">
        <f t="shared" si="11"/>
        <v>0</v>
      </c>
      <c r="U87" s="60"/>
      <c r="V87" s="61" t="e">
        <f>bdrate($D87:$D90,E87:E90,$M87:$M90,N87:N90)</f>
        <v>#VALUE!</v>
      </c>
      <c r="W87" s="62" t="e">
        <f>bdrate($D87:$D90,F87:F90,$M87:$M90,O87:O90)</f>
        <v>#VALUE!</v>
      </c>
      <c r="X87" s="62" t="e">
        <f>bdrate($D87:$D90,G87:G90,$M87:$M90,P87:P90)</f>
        <v>#VALUE!</v>
      </c>
      <c r="Y87" s="62" t="e">
        <f>bdrate(D87:D90,J87:J90,M87:M90,S87:S90)</f>
        <v>#VALUE!</v>
      </c>
      <c r="Z87" s="73" t="e">
        <f>bdrateOld($D87:$D90,E87:E90,$M87:$M90,N87:N90)</f>
        <v>#VALUE!</v>
      </c>
      <c r="AA87" s="74" t="e">
        <f>bdrateOld($D87:$D90,F87:F90,$M87:$M90,O87:O90)</f>
        <v>#VALUE!</v>
      </c>
      <c r="AB87" s="75" t="e">
        <f>bdrateOld($D87:$D90,G87:G90,$M87:$M90,P87:P90)</f>
        <v>#VALUE!</v>
      </c>
    </row>
    <row r="88" spans="1:28" s="57" customFormat="1" x14ac:dyDescent="0.2">
      <c r="A88" s="63"/>
      <c r="B88" s="63"/>
      <c r="C88" s="63">
        <v>27</v>
      </c>
      <c r="D88" s="79"/>
      <c r="E88" s="80"/>
      <c r="F88" s="80"/>
      <c r="G88" s="80"/>
      <c r="H88" s="80"/>
      <c r="I88" s="80"/>
      <c r="J88" s="80">
        <f t="shared" si="5"/>
        <v>0</v>
      </c>
      <c r="K88" s="64">
        <f t="shared" si="10"/>
        <v>0</v>
      </c>
      <c r="M88" s="79"/>
      <c r="N88" s="80"/>
      <c r="O88" s="80"/>
      <c r="P88" s="80"/>
      <c r="Q88" s="80"/>
      <c r="R88" s="80"/>
      <c r="S88" s="80">
        <f t="shared" si="6"/>
        <v>0</v>
      </c>
      <c r="T88" s="64">
        <f t="shared" si="11"/>
        <v>0</v>
      </c>
      <c r="U88" s="60"/>
      <c r="V88" s="65"/>
      <c r="W88" s="66"/>
      <c r="X88" s="66"/>
      <c r="Y88" s="66"/>
      <c r="Z88" s="65"/>
      <c r="AA88" s="66"/>
      <c r="AB88" s="67"/>
    </row>
    <row r="89" spans="1:28" s="57" customFormat="1" x14ac:dyDescent="0.2">
      <c r="A89" s="63"/>
      <c r="B89" s="63"/>
      <c r="C89" s="63">
        <v>32</v>
      </c>
      <c r="D89" s="79"/>
      <c r="E89" s="80"/>
      <c r="F89" s="80"/>
      <c r="G89" s="80"/>
      <c r="H89" s="80"/>
      <c r="I89" s="80"/>
      <c r="J89" s="80">
        <f t="shared" si="5"/>
        <v>0</v>
      </c>
      <c r="K89" s="64">
        <f t="shared" si="10"/>
        <v>0</v>
      </c>
      <c r="M89" s="79"/>
      <c r="N89" s="80"/>
      <c r="O89" s="80"/>
      <c r="P89" s="80"/>
      <c r="Q89" s="80"/>
      <c r="R89" s="80"/>
      <c r="S89" s="80">
        <f t="shared" si="6"/>
        <v>0</v>
      </c>
      <c r="T89" s="64">
        <f t="shared" si="11"/>
        <v>0</v>
      </c>
      <c r="U89" s="60"/>
      <c r="V89" s="65"/>
      <c r="W89" s="66"/>
      <c r="X89" s="66"/>
      <c r="Y89" s="66"/>
      <c r="Z89" s="65"/>
      <c r="AA89" s="66"/>
      <c r="AB89" s="67"/>
    </row>
    <row r="90" spans="1:28" s="57" customFormat="1" ht="12.75" thickBot="1" x14ac:dyDescent="0.25">
      <c r="A90" s="63"/>
      <c r="B90" s="68"/>
      <c r="C90" s="68">
        <v>37</v>
      </c>
      <c r="D90" s="81"/>
      <c r="E90" s="82"/>
      <c r="F90" s="82"/>
      <c r="G90" s="82"/>
      <c r="H90" s="82"/>
      <c r="I90" s="82"/>
      <c r="J90" s="82">
        <f t="shared" si="5"/>
        <v>0</v>
      </c>
      <c r="K90" s="69">
        <f t="shared" si="10"/>
        <v>0</v>
      </c>
      <c r="M90" s="81"/>
      <c r="N90" s="82"/>
      <c r="O90" s="82"/>
      <c r="P90" s="82"/>
      <c r="Q90" s="82"/>
      <c r="R90" s="82"/>
      <c r="S90" s="82">
        <f t="shared" si="6"/>
        <v>0</v>
      </c>
      <c r="T90" s="69">
        <f t="shared" si="11"/>
        <v>0</v>
      </c>
      <c r="U90" s="60"/>
      <c r="V90" s="70"/>
      <c r="W90" s="71"/>
      <c r="X90" s="71"/>
      <c r="Y90" s="71"/>
      <c r="Z90" s="70"/>
      <c r="AA90" s="71"/>
      <c r="AB90" s="72"/>
    </row>
    <row r="91" spans="1:28" s="57" customFormat="1" x14ac:dyDescent="0.2">
      <c r="A91" s="63"/>
      <c r="B91" s="58" t="s">
        <v>49</v>
      </c>
      <c r="C91" s="58">
        <v>22</v>
      </c>
      <c r="D91" s="77"/>
      <c r="E91" s="78"/>
      <c r="F91" s="78"/>
      <c r="G91" s="78"/>
      <c r="H91" s="78"/>
      <c r="I91" s="78"/>
      <c r="J91" s="78">
        <f t="shared" si="5"/>
        <v>0</v>
      </c>
      <c r="K91" s="59">
        <f t="shared" si="10"/>
        <v>0</v>
      </c>
      <c r="M91" s="77"/>
      <c r="N91" s="78"/>
      <c r="O91" s="78"/>
      <c r="P91" s="78"/>
      <c r="Q91" s="78"/>
      <c r="R91" s="78"/>
      <c r="S91" s="78">
        <f t="shared" si="6"/>
        <v>0</v>
      </c>
      <c r="T91" s="59">
        <f t="shared" si="11"/>
        <v>0</v>
      </c>
      <c r="U91" s="60"/>
      <c r="V91" s="61" t="e">
        <f>bdrate($D91:$D94,E91:E94,$M91:$M94,N91:N94)</f>
        <v>#VALUE!</v>
      </c>
      <c r="W91" s="62" t="e">
        <f>bdrate($D91:$D94,F91:F94,$M91:$M94,O91:O94)</f>
        <v>#VALUE!</v>
      </c>
      <c r="X91" s="62" t="e">
        <f>bdrate($D91:$D94,G91:G94,$M91:$M94,P91:P94)</f>
        <v>#VALUE!</v>
      </c>
      <c r="Y91" s="62" t="e">
        <f>bdrate(D91:D94,J91:J94,M91:M94,S91:S94)</f>
        <v>#VALUE!</v>
      </c>
      <c r="Z91" s="73" t="e">
        <f>bdrateOld($D91:$D94,E91:E94,$M91:$M94,N91:N94)</f>
        <v>#VALUE!</v>
      </c>
      <c r="AA91" s="74" t="e">
        <f>bdrateOld($D91:$D94,F91:F94,$M91:$M94,O91:O94)</f>
        <v>#VALUE!</v>
      </c>
      <c r="AB91" s="75" t="e">
        <f>bdrateOld($D91:$D94,G91:G94,$M91:$M94,P91:P94)</f>
        <v>#VALUE!</v>
      </c>
    </row>
    <row r="92" spans="1:28" s="57" customFormat="1" x14ac:dyDescent="0.2">
      <c r="A92" s="63"/>
      <c r="B92" s="63"/>
      <c r="C92" s="63">
        <v>27</v>
      </c>
      <c r="D92" s="79"/>
      <c r="E92" s="80"/>
      <c r="F92" s="80"/>
      <c r="G92" s="80"/>
      <c r="H92" s="80"/>
      <c r="I92" s="80"/>
      <c r="J92" s="80">
        <f t="shared" si="5"/>
        <v>0</v>
      </c>
      <c r="K92" s="64">
        <f t="shared" si="10"/>
        <v>0</v>
      </c>
      <c r="M92" s="79"/>
      <c r="N92" s="80"/>
      <c r="O92" s="80"/>
      <c r="P92" s="80"/>
      <c r="Q92" s="80"/>
      <c r="R92" s="80"/>
      <c r="S92" s="80">
        <f t="shared" si="6"/>
        <v>0</v>
      </c>
      <c r="T92" s="64">
        <f t="shared" si="11"/>
        <v>0</v>
      </c>
      <c r="U92" s="60"/>
      <c r="V92" s="65"/>
      <c r="W92" s="66"/>
      <c r="X92" s="66"/>
      <c r="Y92" s="66"/>
      <c r="Z92" s="65"/>
      <c r="AA92" s="66"/>
      <c r="AB92" s="67"/>
    </row>
    <row r="93" spans="1:28" s="57" customFormat="1" x14ac:dyDescent="0.2">
      <c r="A93" s="63"/>
      <c r="B93" s="63"/>
      <c r="C93" s="63">
        <v>32</v>
      </c>
      <c r="D93" s="79"/>
      <c r="E93" s="80"/>
      <c r="F93" s="80"/>
      <c r="G93" s="80"/>
      <c r="H93" s="80"/>
      <c r="I93" s="80"/>
      <c r="J93" s="80">
        <f t="shared" si="5"/>
        <v>0</v>
      </c>
      <c r="K93" s="64">
        <f t="shared" si="10"/>
        <v>0</v>
      </c>
      <c r="M93" s="79"/>
      <c r="N93" s="80"/>
      <c r="O93" s="80"/>
      <c r="P93" s="80"/>
      <c r="Q93" s="80"/>
      <c r="R93" s="80"/>
      <c r="S93" s="80">
        <f t="shared" si="6"/>
        <v>0</v>
      </c>
      <c r="T93" s="64">
        <f t="shared" si="11"/>
        <v>0</v>
      </c>
      <c r="U93" s="60"/>
      <c r="V93" s="65"/>
      <c r="W93" s="66"/>
      <c r="X93" s="66"/>
      <c r="Y93" s="66"/>
      <c r="Z93" s="65"/>
      <c r="AA93" s="66"/>
      <c r="AB93" s="67"/>
    </row>
    <row r="94" spans="1:28" s="57" customFormat="1" ht="12.75" thickBot="1" x14ac:dyDescent="0.25">
      <c r="A94" s="63"/>
      <c r="B94" s="68"/>
      <c r="C94" s="68">
        <v>37</v>
      </c>
      <c r="D94" s="81"/>
      <c r="E94" s="82"/>
      <c r="F94" s="82"/>
      <c r="G94" s="82"/>
      <c r="H94" s="82"/>
      <c r="I94" s="82"/>
      <c r="J94" s="82">
        <f t="shared" si="5"/>
        <v>0</v>
      </c>
      <c r="K94" s="69">
        <f t="shared" si="10"/>
        <v>0</v>
      </c>
      <c r="M94" s="81"/>
      <c r="N94" s="82"/>
      <c r="O94" s="82"/>
      <c r="P94" s="82"/>
      <c r="Q94" s="82"/>
      <c r="R94" s="82"/>
      <c r="S94" s="82">
        <f t="shared" si="6"/>
        <v>0</v>
      </c>
      <c r="T94" s="69">
        <f t="shared" si="11"/>
        <v>0</v>
      </c>
      <c r="U94" s="60"/>
      <c r="V94" s="70"/>
      <c r="W94" s="71"/>
      <c r="X94" s="71"/>
      <c r="Y94" s="71"/>
      <c r="Z94" s="70"/>
      <c r="AA94" s="71"/>
      <c r="AB94" s="72"/>
    </row>
    <row r="95" spans="1:28" s="57" customFormat="1" x14ac:dyDescent="0.2">
      <c r="A95" s="63"/>
      <c r="B95" s="58" t="s">
        <v>50</v>
      </c>
      <c r="C95" s="58">
        <v>22</v>
      </c>
      <c r="D95" s="77"/>
      <c r="E95" s="78"/>
      <c r="F95" s="78"/>
      <c r="G95" s="78"/>
      <c r="H95" s="78"/>
      <c r="I95" s="78"/>
      <c r="J95" s="78">
        <f t="shared" si="5"/>
        <v>0</v>
      </c>
      <c r="K95" s="59">
        <f t="shared" si="10"/>
        <v>0</v>
      </c>
      <c r="M95" s="77"/>
      <c r="N95" s="78"/>
      <c r="O95" s="78"/>
      <c r="P95" s="78"/>
      <c r="Q95" s="78"/>
      <c r="R95" s="78"/>
      <c r="S95" s="78">
        <f t="shared" si="6"/>
        <v>0</v>
      </c>
      <c r="T95" s="59">
        <f t="shared" si="11"/>
        <v>0</v>
      </c>
      <c r="U95" s="60"/>
      <c r="V95" s="61" t="e">
        <f>bdrate($D95:$D98,E95:E98,$M95:$M98,N95:N98)</f>
        <v>#VALUE!</v>
      </c>
      <c r="W95" s="62" t="e">
        <f>bdrate($D95:$D98,F95:F98,$M95:$M98,O95:O98)</f>
        <v>#VALUE!</v>
      </c>
      <c r="X95" s="62" t="e">
        <f>bdrate($D95:$D98,G95:G98,$M95:$M98,P95:P98)</f>
        <v>#VALUE!</v>
      </c>
      <c r="Y95" s="62" t="e">
        <f>bdrate(D95:D98,J95:J98,M95:M98,S95:S98)</f>
        <v>#VALUE!</v>
      </c>
      <c r="Z95" s="73" t="e">
        <f>bdrateOld($D95:$D98,E95:E98,$M95:$M98,N95:N98)</f>
        <v>#VALUE!</v>
      </c>
      <c r="AA95" s="74" t="e">
        <f>bdrateOld($D95:$D98,F95:F98,$M95:$M98,O95:O98)</f>
        <v>#VALUE!</v>
      </c>
      <c r="AB95" s="75" t="e">
        <f>bdrateOld($D95:$D98,G95:G98,$M95:$M98,P95:P98)</f>
        <v>#VALUE!</v>
      </c>
    </row>
    <row r="96" spans="1:28" s="57" customFormat="1" x14ac:dyDescent="0.2">
      <c r="A96" s="63"/>
      <c r="B96" s="63"/>
      <c r="C96" s="63">
        <v>27</v>
      </c>
      <c r="D96" s="79"/>
      <c r="E96" s="80"/>
      <c r="F96" s="80"/>
      <c r="G96" s="80"/>
      <c r="H96" s="80"/>
      <c r="I96" s="80"/>
      <c r="J96" s="80">
        <f>(6*E96+F96+G96)/8</f>
        <v>0</v>
      </c>
      <c r="K96" s="64">
        <f t="shared" si="10"/>
        <v>0</v>
      </c>
      <c r="M96" s="79"/>
      <c r="N96" s="80"/>
      <c r="O96" s="80"/>
      <c r="P96" s="80"/>
      <c r="Q96" s="80"/>
      <c r="R96" s="80"/>
      <c r="S96" s="80">
        <f>(6*N96+O96+P96)/8</f>
        <v>0</v>
      </c>
      <c r="T96" s="64">
        <f t="shared" si="11"/>
        <v>0</v>
      </c>
      <c r="U96" s="60"/>
      <c r="V96" s="65"/>
      <c r="W96" s="66"/>
      <c r="X96" s="66"/>
      <c r="Y96" s="66"/>
      <c r="Z96" s="65"/>
      <c r="AA96" s="66"/>
      <c r="AB96" s="67"/>
    </row>
    <row r="97" spans="1:28" s="57" customFormat="1" x14ac:dyDescent="0.2">
      <c r="A97" s="63"/>
      <c r="B97" s="63"/>
      <c r="C97" s="63">
        <v>32</v>
      </c>
      <c r="D97" s="79"/>
      <c r="E97" s="80"/>
      <c r="F97" s="80"/>
      <c r="G97" s="80"/>
      <c r="H97" s="80"/>
      <c r="I97" s="80"/>
      <c r="J97" s="80">
        <f>(6*E97+F97+G97)/8</f>
        <v>0</v>
      </c>
      <c r="K97" s="64">
        <f t="shared" si="10"/>
        <v>0</v>
      </c>
      <c r="M97" s="79"/>
      <c r="N97" s="80"/>
      <c r="O97" s="80"/>
      <c r="P97" s="80"/>
      <c r="Q97" s="80"/>
      <c r="R97" s="80"/>
      <c r="S97" s="80">
        <f>(6*N97+O97+P97)/8</f>
        <v>0</v>
      </c>
      <c r="T97" s="64">
        <f t="shared" si="11"/>
        <v>0</v>
      </c>
      <c r="U97" s="60"/>
      <c r="V97" s="65"/>
      <c r="W97" s="66"/>
      <c r="X97" s="66"/>
      <c r="Y97" s="66"/>
      <c r="Z97" s="65"/>
      <c r="AA97" s="66"/>
      <c r="AB97" s="67"/>
    </row>
    <row r="98" spans="1:28" s="57" customFormat="1" ht="12.75" thickBot="1" x14ac:dyDescent="0.25">
      <c r="A98" s="68"/>
      <c r="B98" s="68"/>
      <c r="C98" s="68">
        <v>37</v>
      </c>
      <c r="D98" s="81"/>
      <c r="E98" s="82"/>
      <c r="F98" s="82"/>
      <c r="G98" s="82"/>
      <c r="H98" s="82"/>
      <c r="I98" s="82"/>
      <c r="J98" s="82">
        <f>(6*E98+F98+G98)/8</f>
        <v>0</v>
      </c>
      <c r="K98" s="69">
        <f t="shared" si="10"/>
        <v>0</v>
      </c>
      <c r="M98" s="81"/>
      <c r="N98" s="82"/>
      <c r="O98" s="82"/>
      <c r="P98" s="82"/>
      <c r="Q98" s="82"/>
      <c r="R98" s="82"/>
      <c r="S98" s="82">
        <f>(6*N98+O98+P98)/8</f>
        <v>0</v>
      </c>
      <c r="T98" s="69">
        <f t="shared" si="11"/>
        <v>0</v>
      </c>
      <c r="U98" s="60"/>
      <c r="V98" s="70"/>
      <c r="W98" s="71"/>
      <c r="X98" s="71"/>
      <c r="Y98" s="71"/>
      <c r="Z98" s="70"/>
      <c r="AA98" s="71"/>
      <c r="AB98" s="72"/>
    </row>
    <row r="99" spans="1:28" x14ac:dyDescent="0.2">
      <c r="B99" s="1" t="s">
        <v>2</v>
      </c>
      <c r="V99" s="21">
        <f>AVERAGE(V3,V7)</f>
        <v>-0.279320317504617</v>
      </c>
      <c r="W99" s="22">
        <f t="shared" ref="W99:AB99" si="18">AVERAGE(W3,W7)</f>
        <v>-0.15239669882943574</v>
      </c>
      <c r="X99" s="22">
        <f t="shared" si="18"/>
        <v>-0.13705450576695316</v>
      </c>
      <c r="Y99" s="22">
        <f t="shared" si="18"/>
        <v>-0.25783371828840229</v>
      </c>
      <c r="Z99" s="21">
        <f t="shared" si="18"/>
        <v>-0.2794308957132674</v>
      </c>
      <c r="AA99" s="22">
        <f t="shared" si="18"/>
        <v>-0.15482277011726658</v>
      </c>
      <c r="AB99" s="23">
        <f t="shared" si="18"/>
        <v>-0.13966987368760225</v>
      </c>
    </row>
    <row r="100" spans="1:28" x14ac:dyDescent="0.2">
      <c r="B100" s="1" t="s">
        <v>4</v>
      </c>
      <c r="V100" s="44" t="e">
        <f t="shared" ref="V100:AB100" si="19">AVERAGE(V19,V23,V27,V31,V35)</f>
        <v>#VALUE!</v>
      </c>
      <c r="W100" s="45" t="e">
        <f t="shared" si="19"/>
        <v>#VALUE!</v>
      </c>
      <c r="X100" s="45" t="e">
        <f t="shared" si="19"/>
        <v>#VALUE!</v>
      </c>
      <c r="Y100" s="45" t="e">
        <f t="shared" si="19"/>
        <v>#VALUE!</v>
      </c>
      <c r="Z100" s="44" t="e">
        <f t="shared" si="19"/>
        <v>#VALUE!</v>
      </c>
      <c r="AA100" s="45" t="e">
        <f t="shared" si="19"/>
        <v>#VALUE!</v>
      </c>
      <c r="AB100" s="46" t="e">
        <f t="shared" si="19"/>
        <v>#VALUE!</v>
      </c>
    </row>
    <row r="101" spans="1:28" x14ac:dyDescent="0.2">
      <c r="B101" s="1" t="s">
        <v>11</v>
      </c>
      <c r="V101" s="44" t="e">
        <f t="shared" ref="V101:AB101" si="20">AVERAGE(V39,V43,V47,V51)</f>
        <v>#VALUE!</v>
      </c>
      <c r="W101" s="45" t="e">
        <f t="shared" si="20"/>
        <v>#VALUE!</v>
      </c>
      <c r="X101" s="45" t="e">
        <f t="shared" si="20"/>
        <v>#VALUE!</v>
      </c>
      <c r="Y101" s="45" t="e">
        <f t="shared" si="20"/>
        <v>#VALUE!</v>
      </c>
      <c r="Z101" s="44" t="e">
        <f t="shared" si="20"/>
        <v>#VALUE!</v>
      </c>
      <c r="AA101" s="45" t="e">
        <f t="shared" si="20"/>
        <v>#VALUE!</v>
      </c>
      <c r="AB101" s="46" t="e">
        <f t="shared" si="20"/>
        <v>#VALUE!</v>
      </c>
    </row>
    <row r="102" spans="1:28" x14ac:dyDescent="0.2">
      <c r="B102" s="1" t="s">
        <v>17</v>
      </c>
      <c r="V102" s="44" t="e">
        <f t="shared" ref="V102:AB102" si="21">AVERAGE(V55,V59,V63,V67)</f>
        <v>#VALUE!</v>
      </c>
      <c r="W102" s="45" t="e">
        <f t="shared" si="21"/>
        <v>#VALUE!</v>
      </c>
      <c r="X102" s="45" t="e">
        <f t="shared" si="21"/>
        <v>#VALUE!</v>
      </c>
      <c r="Y102" s="45" t="e">
        <f t="shared" si="21"/>
        <v>#VALUE!</v>
      </c>
      <c r="Z102" s="44" t="e">
        <f t="shared" si="21"/>
        <v>#VALUE!</v>
      </c>
      <c r="AA102" s="45" t="e">
        <f t="shared" si="21"/>
        <v>#VALUE!</v>
      </c>
      <c r="AB102" s="46" t="e">
        <f t="shared" si="21"/>
        <v>#VALUE!</v>
      </c>
    </row>
    <row r="103" spans="1:28" x14ac:dyDescent="0.2">
      <c r="B103" s="1" t="s">
        <v>24</v>
      </c>
      <c r="V103" s="44" t="e">
        <f>AVERAGE(V71,V75,V79)</f>
        <v>#VALUE!</v>
      </c>
      <c r="W103" s="74" t="e">
        <f t="shared" ref="W103:Y103" si="22">AVERAGE(W71,W75,W79)</f>
        <v>#VALUE!</v>
      </c>
      <c r="X103" s="74" t="e">
        <f t="shared" si="22"/>
        <v>#VALUE!</v>
      </c>
      <c r="Y103" s="75" t="e">
        <f t="shared" si="22"/>
        <v>#VALUE!</v>
      </c>
      <c r="Z103" s="44" t="e">
        <f>AVERAGE(Z71,Z75,Z79)</f>
        <v>#VALUE!</v>
      </c>
      <c r="AA103" s="45" t="e">
        <f>AVERAGE(AA71,AA75,AA79)</f>
        <v>#VALUE!</v>
      </c>
      <c r="AB103" s="46" t="e">
        <f>AVERAGE(AB71,AB75,AB79)</f>
        <v>#VALUE!</v>
      </c>
    </row>
    <row r="104" spans="1:28" s="57" customFormat="1" ht="12.75" thickBot="1" x14ac:dyDescent="0.25">
      <c r="B104" s="57" t="s">
        <v>45</v>
      </c>
      <c r="V104" s="73" t="e">
        <f>AVERAGE(V83,V87,V91,V95)</f>
        <v>#VALUE!</v>
      </c>
      <c r="W104" s="74" t="e">
        <f t="shared" ref="W104:AB104" si="23">AVERAGE(W83,W87,W91,W95)</f>
        <v>#VALUE!</v>
      </c>
      <c r="X104" s="74" t="e">
        <f t="shared" si="23"/>
        <v>#VALUE!</v>
      </c>
      <c r="Y104" s="75" t="e">
        <f t="shared" si="23"/>
        <v>#VALUE!</v>
      </c>
      <c r="Z104" s="73" t="e">
        <f t="shared" si="23"/>
        <v>#VALUE!</v>
      </c>
      <c r="AA104" s="74" t="e">
        <f t="shared" si="23"/>
        <v>#VALUE!</v>
      </c>
      <c r="AB104" s="75" t="e">
        <f t="shared" si="23"/>
        <v>#VALUE!</v>
      </c>
    </row>
    <row r="105" spans="1:28" ht="12.75" thickBot="1" x14ac:dyDescent="0.25">
      <c r="A105" s="3"/>
      <c r="B105" s="4" t="s">
        <v>25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83" t="e">
        <f>AVERAGE(V3:V98)</f>
        <v>#VALUE!</v>
      </c>
      <c r="W105" s="84" t="e">
        <f t="shared" ref="W105:AB105" si="24">AVERAGE(W3:W98)</f>
        <v>#VALUE!</v>
      </c>
      <c r="X105" s="84" t="e">
        <f t="shared" si="24"/>
        <v>#VALUE!</v>
      </c>
      <c r="Y105" s="85" t="e">
        <f t="shared" si="24"/>
        <v>#VALUE!</v>
      </c>
      <c r="Z105" s="83" t="e">
        <f t="shared" si="24"/>
        <v>#VALUE!</v>
      </c>
      <c r="AA105" s="84" t="e">
        <f t="shared" si="24"/>
        <v>#VALUE!</v>
      </c>
      <c r="AB105" s="85" t="e">
        <f t="shared" si="24"/>
        <v>#VALUE!</v>
      </c>
    </row>
    <row r="106" spans="1:28" x14ac:dyDescent="0.2">
      <c r="B106" s="1" t="s">
        <v>26</v>
      </c>
      <c r="I106" s="76" t="e">
        <f>GEOMEAN(I3:I98)</f>
        <v>#NUM!</v>
      </c>
      <c r="J106" s="48"/>
      <c r="K106" s="48" t="e">
        <f>GEOMEAN(K3:K98)</f>
        <v>#NUM!</v>
      </c>
      <c r="R106" s="48" t="e">
        <f>GEOMEAN(R3:R98)</f>
        <v>#NUM!</v>
      </c>
      <c r="S106" s="48"/>
      <c r="T106" s="48" t="e">
        <f>GEOMEAN(T3:T98)</f>
        <v>#NUM!</v>
      </c>
    </row>
    <row r="107" spans="1:28" x14ac:dyDescent="0.2">
      <c r="B107" s="1" t="s">
        <v>27</v>
      </c>
      <c r="R107" s="49" t="e">
        <f>R106/I106</f>
        <v>#NUM!</v>
      </c>
      <c r="S107" s="49"/>
      <c r="T107" s="49" t="e">
        <f>T106/K106</f>
        <v>#NUM!</v>
      </c>
    </row>
    <row r="108" spans="1:28" x14ac:dyDescent="0.2">
      <c r="B108" s="1" t="s">
        <v>28</v>
      </c>
      <c r="I108" s="48"/>
      <c r="J108" s="48"/>
      <c r="K108" s="48">
        <f>SUM(K3:K98)</f>
        <v>6.6011111111111118E-2</v>
      </c>
      <c r="R108" s="48">
        <f>SUM(R3:R98)/3600</f>
        <v>0</v>
      </c>
      <c r="S108" s="48"/>
      <c r="T108" s="48">
        <f>SUM(T3:T98)</f>
        <v>1.4516666666666666E-2</v>
      </c>
    </row>
  </sheetData>
  <mergeCells count="4">
    <mergeCell ref="D1:K1"/>
    <mergeCell ref="M1:T1"/>
    <mergeCell ref="V1:X1"/>
    <mergeCell ref="Z1:AB1"/>
  </mergeCells>
  <phoneticPr fontId="6" type="noConversion"/>
  <conditionalFormatting sqref="W3:Y3 V4:Y82 V99:Y103 V104:AB105">
    <cfRule type="cellIs" dxfId="175" priority="197" operator="greaterThan">
      <formula>0.03</formula>
    </cfRule>
    <cfRule type="cellIs" dxfId="174" priority="198" stopIfTrue="1" operator="lessThan">
      <formula>-0.03</formula>
    </cfRule>
  </conditionalFormatting>
  <conditionalFormatting sqref="Z3">
    <cfRule type="cellIs" dxfId="173" priority="195" operator="greaterThan">
      <formula>0.03</formula>
    </cfRule>
    <cfRule type="cellIs" dxfId="172" priority="196" stopIfTrue="1" operator="lessThan">
      <formula>-0.03</formula>
    </cfRule>
  </conditionalFormatting>
  <conditionalFormatting sqref="AA3">
    <cfRule type="cellIs" dxfId="171" priority="193" operator="greaterThan">
      <formula>0.03</formula>
    </cfRule>
    <cfRule type="cellIs" dxfId="170" priority="194" stopIfTrue="1" operator="lessThan">
      <formula>-0.03</formula>
    </cfRule>
  </conditionalFormatting>
  <conditionalFormatting sqref="AB3">
    <cfRule type="cellIs" dxfId="169" priority="191" operator="greaterThan">
      <formula>0.03</formula>
    </cfRule>
    <cfRule type="cellIs" dxfId="168" priority="192" stopIfTrue="1" operator="lessThan">
      <formula>-0.03</formula>
    </cfRule>
  </conditionalFormatting>
  <conditionalFormatting sqref="Z7">
    <cfRule type="cellIs" dxfId="167" priority="189" operator="greaterThan">
      <formula>0.03</formula>
    </cfRule>
    <cfRule type="cellIs" dxfId="166" priority="190" stopIfTrue="1" operator="lessThan">
      <formula>-0.03</formula>
    </cfRule>
  </conditionalFormatting>
  <conditionalFormatting sqref="AA7">
    <cfRule type="cellIs" dxfId="165" priority="187" operator="greaterThan">
      <formula>0.03</formula>
    </cfRule>
    <cfRule type="cellIs" dxfId="164" priority="188" stopIfTrue="1" operator="lessThan">
      <formula>-0.03</formula>
    </cfRule>
  </conditionalFormatting>
  <conditionalFormatting sqref="AB7">
    <cfRule type="cellIs" dxfId="163" priority="185" operator="greaterThan">
      <formula>0.03</formula>
    </cfRule>
    <cfRule type="cellIs" dxfId="162" priority="186" stopIfTrue="1" operator="lessThan">
      <formula>-0.03</formula>
    </cfRule>
  </conditionalFormatting>
  <conditionalFormatting sqref="Z11">
    <cfRule type="cellIs" dxfId="161" priority="183" operator="greaterThan">
      <formula>0.03</formula>
    </cfRule>
    <cfRule type="cellIs" dxfId="160" priority="184" stopIfTrue="1" operator="lessThan">
      <formula>-0.03</formula>
    </cfRule>
  </conditionalFormatting>
  <conditionalFormatting sqref="AA11">
    <cfRule type="cellIs" dxfId="159" priority="181" operator="greaterThan">
      <formula>0.03</formula>
    </cfRule>
    <cfRule type="cellIs" dxfId="158" priority="182" stopIfTrue="1" operator="lessThan">
      <formula>-0.03</formula>
    </cfRule>
  </conditionalFormatting>
  <conditionalFormatting sqref="AB11">
    <cfRule type="cellIs" dxfId="157" priority="179" operator="greaterThan">
      <formula>0.03</formula>
    </cfRule>
    <cfRule type="cellIs" dxfId="156" priority="180" stopIfTrue="1" operator="lessThan">
      <formula>-0.03</formula>
    </cfRule>
  </conditionalFormatting>
  <conditionalFormatting sqref="Z15">
    <cfRule type="cellIs" dxfId="155" priority="177" operator="greaterThan">
      <formula>0.03</formula>
    </cfRule>
    <cfRule type="cellIs" dxfId="154" priority="178" stopIfTrue="1" operator="lessThan">
      <formula>-0.03</formula>
    </cfRule>
  </conditionalFormatting>
  <conditionalFormatting sqref="AA15">
    <cfRule type="cellIs" dxfId="153" priority="175" operator="greaterThan">
      <formula>0.03</formula>
    </cfRule>
    <cfRule type="cellIs" dxfId="152" priority="176" stopIfTrue="1" operator="lessThan">
      <formula>-0.03</formula>
    </cfRule>
  </conditionalFormatting>
  <conditionalFormatting sqref="AB15">
    <cfRule type="cellIs" dxfId="151" priority="173" operator="greaterThan">
      <formula>0.03</formula>
    </cfRule>
    <cfRule type="cellIs" dxfId="150" priority="174" stopIfTrue="1" operator="lessThan">
      <formula>-0.03</formula>
    </cfRule>
  </conditionalFormatting>
  <conditionalFormatting sqref="Z19">
    <cfRule type="cellIs" dxfId="149" priority="171" operator="greaterThan">
      <formula>0.03</formula>
    </cfRule>
    <cfRule type="cellIs" dxfId="148" priority="172" stopIfTrue="1" operator="lessThan">
      <formula>-0.03</formula>
    </cfRule>
  </conditionalFormatting>
  <conditionalFormatting sqref="AA19">
    <cfRule type="cellIs" dxfId="147" priority="169" operator="greaterThan">
      <formula>0.03</formula>
    </cfRule>
    <cfRule type="cellIs" dxfId="146" priority="170" stopIfTrue="1" operator="lessThan">
      <formula>-0.03</formula>
    </cfRule>
  </conditionalFormatting>
  <conditionalFormatting sqref="AB19">
    <cfRule type="cellIs" dxfId="145" priority="167" operator="greaterThan">
      <formula>0.03</formula>
    </cfRule>
    <cfRule type="cellIs" dxfId="144" priority="168" stopIfTrue="1" operator="lessThan">
      <formula>-0.03</formula>
    </cfRule>
  </conditionalFormatting>
  <conditionalFormatting sqref="Z23">
    <cfRule type="cellIs" dxfId="143" priority="165" operator="greaterThan">
      <formula>0.03</formula>
    </cfRule>
    <cfRule type="cellIs" dxfId="142" priority="166" stopIfTrue="1" operator="lessThan">
      <formula>-0.03</formula>
    </cfRule>
  </conditionalFormatting>
  <conditionalFormatting sqref="AA23">
    <cfRule type="cellIs" dxfId="141" priority="163" operator="greaterThan">
      <formula>0.03</formula>
    </cfRule>
    <cfRule type="cellIs" dxfId="140" priority="164" stopIfTrue="1" operator="lessThan">
      <formula>-0.03</formula>
    </cfRule>
  </conditionalFormatting>
  <conditionalFormatting sqref="AB23">
    <cfRule type="cellIs" dxfId="139" priority="161" operator="greaterThan">
      <formula>0.03</formula>
    </cfRule>
    <cfRule type="cellIs" dxfId="138" priority="162" stopIfTrue="1" operator="lessThan">
      <formula>-0.03</formula>
    </cfRule>
  </conditionalFormatting>
  <conditionalFormatting sqref="Z27">
    <cfRule type="cellIs" dxfId="137" priority="159" operator="greaterThan">
      <formula>0.03</formula>
    </cfRule>
    <cfRule type="cellIs" dxfId="136" priority="160" stopIfTrue="1" operator="lessThan">
      <formula>-0.03</formula>
    </cfRule>
  </conditionalFormatting>
  <conditionalFormatting sqref="AA27">
    <cfRule type="cellIs" dxfId="135" priority="157" operator="greaterThan">
      <formula>0.03</formula>
    </cfRule>
    <cfRule type="cellIs" dxfId="134" priority="158" stopIfTrue="1" operator="lessThan">
      <formula>-0.03</formula>
    </cfRule>
  </conditionalFormatting>
  <conditionalFormatting sqref="AB27">
    <cfRule type="cellIs" dxfId="133" priority="155" operator="greaterThan">
      <formula>0.03</formula>
    </cfRule>
    <cfRule type="cellIs" dxfId="132" priority="156" stopIfTrue="1" operator="lessThan">
      <formula>-0.03</formula>
    </cfRule>
  </conditionalFormatting>
  <conditionalFormatting sqref="Z31">
    <cfRule type="cellIs" dxfId="131" priority="153" operator="greaterThan">
      <formula>0.03</formula>
    </cfRule>
    <cfRule type="cellIs" dxfId="130" priority="154" stopIfTrue="1" operator="lessThan">
      <formula>-0.03</formula>
    </cfRule>
  </conditionalFormatting>
  <conditionalFormatting sqref="AA31">
    <cfRule type="cellIs" dxfId="129" priority="151" operator="greaterThan">
      <formula>0.03</formula>
    </cfRule>
    <cfRule type="cellIs" dxfId="128" priority="152" stopIfTrue="1" operator="lessThan">
      <formula>-0.03</formula>
    </cfRule>
  </conditionalFormatting>
  <conditionalFormatting sqref="AB31">
    <cfRule type="cellIs" dxfId="127" priority="149" operator="greaterThan">
      <formula>0.03</formula>
    </cfRule>
    <cfRule type="cellIs" dxfId="126" priority="150" stopIfTrue="1" operator="lessThan">
      <formula>-0.03</formula>
    </cfRule>
  </conditionalFormatting>
  <conditionalFormatting sqref="Z35">
    <cfRule type="cellIs" dxfId="125" priority="147" operator="greaterThan">
      <formula>0.03</formula>
    </cfRule>
    <cfRule type="cellIs" dxfId="124" priority="148" stopIfTrue="1" operator="lessThan">
      <formula>-0.03</formula>
    </cfRule>
  </conditionalFormatting>
  <conditionalFormatting sqref="AA35">
    <cfRule type="cellIs" dxfId="123" priority="145" operator="greaterThan">
      <formula>0.03</formula>
    </cfRule>
    <cfRule type="cellIs" dxfId="122" priority="146" stopIfTrue="1" operator="lessThan">
      <formula>-0.03</formula>
    </cfRule>
  </conditionalFormatting>
  <conditionalFormatting sqref="AB35">
    <cfRule type="cellIs" dxfId="121" priority="143" operator="greaterThan">
      <formula>0.03</formula>
    </cfRule>
    <cfRule type="cellIs" dxfId="120" priority="144" stopIfTrue="1" operator="lessThan">
      <formula>-0.03</formula>
    </cfRule>
  </conditionalFormatting>
  <conditionalFormatting sqref="Z39">
    <cfRule type="cellIs" dxfId="119" priority="141" operator="greaterThan">
      <formula>0.03</formula>
    </cfRule>
    <cfRule type="cellIs" dxfId="118" priority="142" stopIfTrue="1" operator="lessThan">
      <formula>-0.03</formula>
    </cfRule>
  </conditionalFormatting>
  <conditionalFormatting sqref="AA39">
    <cfRule type="cellIs" dxfId="117" priority="139" operator="greaterThan">
      <formula>0.03</formula>
    </cfRule>
    <cfRule type="cellIs" dxfId="116" priority="140" stopIfTrue="1" operator="lessThan">
      <formula>-0.03</formula>
    </cfRule>
  </conditionalFormatting>
  <conditionalFormatting sqref="AB39">
    <cfRule type="cellIs" dxfId="115" priority="137" operator="greaterThan">
      <formula>0.03</formula>
    </cfRule>
    <cfRule type="cellIs" dxfId="114" priority="138" stopIfTrue="1" operator="lessThan">
      <formula>-0.03</formula>
    </cfRule>
  </conditionalFormatting>
  <conditionalFormatting sqref="Z43">
    <cfRule type="cellIs" dxfId="113" priority="135" operator="greaterThan">
      <formula>0.03</formula>
    </cfRule>
    <cfRule type="cellIs" dxfId="112" priority="136" stopIfTrue="1" operator="lessThan">
      <formula>-0.03</formula>
    </cfRule>
  </conditionalFormatting>
  <conditionalFormatting sqref="AA43">
    <cfRule type="cellIs" dxfId="111" priority="133" operator="greaterThan">
      <formula>0.03</formula>
    </cfRule>
    <cfRule type="cellIs" dxfId="110" priority="134" stopIfTrue="1" operator="lessThan">
      <formula>-0.03</formula>
    </cfRule>
  </conditionalFormatting>
  <conditionalFormatting sqref="AB43">
    <cfRule type="cellIs" dxfId="109" priority="131" operator="greaterThan">
      <formula>0.03</formula>
    </cfRule>
    <cfRule type="cellIs" dxfId="108" priority="132" stopIfTrue="1" operator="lessThan">
      <formula>-0.03</formula>
    </cfRule>
  </conditionalFormatting>
  <conditionalFormatting sqref="Z47">
    <cfRule type="cellIs" dxfId="107" priority="129" operator="greaterThan">
      <formula>0.03</formula>
    </cfRule>
    <cfRule type="cellIs" dxfId="106" priority="130" stopIfTrue="1" operator="lessThan">
      <formula>-0.03</formula>
    </cfRule>
  </conditionalFormatting>
  <conditionalFormatting sqref="AA47">
    <cfRule type="cellIs" dxfId="105" priority="127" operator="greaterThan">
      <formula>0.03</formula>
    </cfRule>
    <cfRule type="cellIs" dxfId="104" priority="128" stopIfTrue="1" operator="lessThan">
      <formula>-0.03</formula>
    </cfRule>
  </conditionalFormatting>
  <conditionalFormatting sqref="AB47">
    <cfRule type="cellIs" dxfId="103" priority="125" operator="greaterThan">
      <formula>0.03</formula>
    </cfRule>
    <cfRule type="cellIs" dxfId="102" priority="126" stopIfTrue="1" operator="lessThan">
      <formula>-0.03</formula>
    </cfRule>
  </conditionalFormatting>
  <conditionalFormatting sqref="Z51">
    <cfRule type="cellIs" dxfId="101" priority="123" operator="greaterThan">
      <formula>0.03</formula>
    </cfRule>
    <cfRule type="cellIs" dxfId="100" priority="124" stopIfTrue="1" operator="lessThan">
      <formula>-0.03</formula>
    </cfRule>
  </conditionalFormatting>
  <conditionalFormatting sqref="AA51">
    <cfRule type="cellIs" dxfId="99" priority="121" operator="greaterThan">
      <formula>0.03</formula>
    </cfRule>
    <cfRule type="cellIs" dxfId="98" priority="122" stopIfTrue="1" operator="lessThan">
      <formula>-0.03</formula>
    </cfRule>
  </conditionalFormatting>
  <conditionalFormatting sqref="AB51">
    <cfRule type="cellIs" dxfId="97" priority="119" operator="greaterThan">
      <formula>0.03</formula>
    </cfRule>
    <cfRule type="cellIs" dxfId="96" priority="120" stopIfTrue="1" operator="lessThan">
      <formula>-0.03</formula>
    </cfRule>
  </conditionalFormatting>
  <conditionalFormatting sqref="Z55">
    <cfRule type="cellIs" dxfId="95" priority="117" operator="greaterThan">
      <formula>0.03</formula>
    </cfRule>
    <cfRule type="cellIs" dxfId="94" priority="118" stopIfTrue="1" operator="lessThan">
      <formula>-0.03</formula>
    </cfRule>
  </conditionalFormatting>
  <conditionalFormatting sqref="AA55">
    <cfRule type="cellIs" dxfId="93" priority="115" operator="greaterThan">
      <formula>0.03</formula>
    </cfRule>
    <cfRule type="cellIs" dxfId="92" priority="116" stopIfTrue="1" operator="lessThan">
      <formula>-0.03</formula>
    </cfRule>
  </conditionalFormatting>
  <conditionalFormatting sqref="AB55">
    <cfRule type="cellIs" dxfId="91" priority="113" operator="greaterThan">
      <formula>0.03</formula>
    </cfRule>
    <cfRule type="cellIs" dxfId="90" priority="114" stopIfTrue="1" operator="lessThan">
      <formula>-0.03</formula>
    </cfRule>
  </conditionalFormatting>
  <conditionalFormatting sqref="Z59">
    <cfRule type="cellIs" dxfId="89" priority="111" operator="greaterThan">
      <formula>0.03</formula>
    </cfRule>
    <cfRule type="cellIs" dxfId="88" priority="112" stopIfTrue="1" operator="lessThan">
      <formula>-0.03</formula>
    </cfRule>
  </conditionalFormatting>
  <conditionalFormatting sqref="AA59">
    <cfRule type="cellIs" dxfId="87" priority="109" operator="greaterThan">
      <formula>0.03</formula>
    </cfRule>
    <cfRule type="cellIs" dxfId="86" priority="110" stopIfTrue="1" operator="lessThan">
      <formula>-0.03</formula>
    </cfRule>
  </conditionalFormatting>
  <conditionalFormatting sqref="AB59">
    <cfRule type="cellIs" dxfId="85" priority="107" operator="greaterThan">
      <formula>0.03</formula>
    </cfRule>
    <cfRule type="cellIs" dxfId="84" priority="108" stopIfTrue="1" operator="lessThan">
      <formula>-0.03</formula>
    </cfRule>
  </conditionalFormatting>
  <conditionalFormatting sqref="Z63">
    <cfRule type="cellIs" dxfId="83" priority="105" operator="greaterThan">
      <formula>0.03</formula>
    </cfRule>
    <cfRule type="cellIs" dxfId="82" priority="106" stopIfTrue="1" operator="lessThan">
      <formula>-0.03</formula>
    </cfRule>
  </conditionalFormatting>
  <conditionalFormatting sqref="AA63">
    <cfRule type="cellIs" dxfId="81" priority="103" operator="greaterThan">
      <formula>0.03</formula>
    </cfRule>
    <cfRule type="cellIs" dxfId="80" priority="104" stopIfTrue="1" operator="lessThan">
      <formula>-0.03</formula>
    </cfRule>
  </conditionalFormatting>
  <conditionalFormatting sqref="AB63">
    <cfRule type="cellIs" dxfId="79" priority="101" operator="greaterThan">
      <formula>0.03</formula>
    </cfRule>
    <cfRule type="cellIs" dxfId="78" priority="102" stopIfTrue="1" operator="lessThan">
      <formula>-0.03</formula>
    </cfRule>
  </conditionalFormatting>
  <conditionalFormatting sqref="Z67 Z71 Z75 Z79">
    <cfRule type="cellIs" dxfId="77" priority="99" operator="greaterThan">
      <formula>0.03</formula>
    </cfRule>
    <cfRule type="cellIs" dxfId="76" priority="100" stopIfTrue="1" operator="lessThan">
      <formula>-0.03</formula>
    </cfRule>
  </conditionalFormatting>
  <conditionalFormatting sqref="AA67 AA71 AA75 AA79">
    <cfRule type="cellIs" dxfId="75" priority="97" operator="greaterThan">
      <formula>0.03</formula>
    </cfRule>
    <cfRule type="cellIs" dxfId="74" priority="98" stopIfTrue="1" operator="lessThan">
      <formula>-0.03</formula>
    </cfRule>
  </conditionalFormatting>
  <conditionalFormatting sqref="AB67 AB71 AB75 AB79">
    <cfRule type="cellIs" dxfId="73" priority="95" operator="greaterThan">
      <formula>0.03</formula>
    </cfRule>
    <cfRule type="cellIs" dxfId="72" priority="96" stopIfTrue="1" operator="lessThan">
      <formula>-0.03</formula>
    </cfRule>
  </conditionalFormatting>
  <conditionalFormatting sqref="Z99:AB103">
    <cfRule type="cellIs" dxfId="71" priority="75" operator="greaterThan">
      <formula>0.03</formula>
    </cfRule>
    <cfRule type="cellIs" dxfId="70" priority="76" stopIfTrue="1" operator="lessThan">
      <formula>-0.03</formula>
    </cfRule>
  </conditionalFormatting>
  <conditionalFormatting sqref="Z6:AA6">
    <cfRule type="cellIs" dxfId="69" priority="73" operator="greaterThan">
      <formula>0.03</formula>
    </cfRule>
    <cfRule type="cellIs" dxfId="68" priority="74" stopIfTrue="1" operator="lessThan">
      <formula>-0.03</formula>
    </cfRule>
  </conditionalFormatting>
  <conditionalFormatting sqref="Z10:AA10">
    <cfRule type="cellIs" dxfId="67" priority="71" operator="greaterThan">
      <formula>0.03</formula>
    </cfRule>
    <cfRule type="cellIs" dxfId="66" priority="72" stopIfTrue="1" operator="lessThan">
      <formula>-0.03</formula>
    </cfRule>
  </conditionalFormatting>
  <conditionalFormatting sqref="Z14:AA14">
    <cfRule type="cellIs" dxfId="65" priority="69" operator="greaterThan">
      <formula>0.03</formula>
    </cfRule>
    <cfRule type="cellIs" dxfId="64" priority="70" stopIfTrue="1" operator="lessThan">
      <formula>-0.03</formula>
    </cfRule>
  </conditionalFormatting>
  <conditionalFormatting sqref="Z18:AA18">
    <cfRule type="cellIs" dxfId="63" priority="67" operator="greaterThan">
      <formula>0.03</formula>
    </cfRule>
    <cfRule type="cellIs" dxfId="62" priority="68" stopIfTrue="1" operator="lessThan">
      <formula>-0.03</formula>
    </cfRule>
  </conditionalFormatting>
  <conditionalFormatting sqref="Z22:AA22">
    <cfRule type="cellIs" dxfId="61" priority="65" operator="greaterThan">
      <formula>0.03</formula>
    </cfRule>
    <cfRule type="cellIs" dxfId="60" priority="66" stopIfTrue="1" operator="lessThan">
      <formula>-0.03</formula>
    </cfRule>
  </conditionalFormatting>
  <conditionalFormatting sqref="Z26:AA26">
    <cfRule type="cellIs" dxfId="59" priority="63" operator="greaterThan">
      <formula>0.03</formula>
    </cfRule>
    <cfRule type="cellIs" dxfId="58" priority="64" stopIfTrue="1" operator="lessThan">
      <formula>-0.03</formula>
    </cfRule>
  </conditionalFormatting>
  <conditionalFormatting sqref="Z30:AA30">
    <cfRule type="cellIs" dxfId="57" priority="61" operator="greaterThan">
      <formula>0.03</formula>
    </cfRule>
    <cfRule type="cellIs" dxfId="56" priority="62" stopIfTrue="1" operator="lessThan">
      <formula>-0.03</formula>
    </cfRule>
  </conditionalFormatting>
  <conditionalFormatting sqref="Z34:AA34">
    <cfRule type="cellIs" dxfId="55" priority="59" operator="greaterThan">
      <formula>0.03</formula>
    </cfRule>
    <cfRule type="cellIs" dxfId="54" priority="60" stopIfTrue="1" operator="lessThan">
      <formula>-0.03</formula>
    </cfRule>
  </conditionalFormatting>
  <conditionalFormatting sqref="Z38:AA38">
    <cfRule type="cellIs" dxfId="53" priority="57" operator="greaterThan">
      <formula>0.03</formula>
    </cfRule>
    <cfRule type="cellIs" dxfId="52" priority="58" stopIfTrue="1" operator="lessThan">
      <formula>-0.03</formula>
    </cfRule>
  </conditionalFormatting>
  <conditionalFormatting sqref="Z42:AA42">
    <cfRule type="cellIs" dxfId="51" priority="55" operator="greaterThan">
      <formula>0.03</formula>
    </cfRule>
    <cfRule type="cellIs" dxfId="50" priority="56" stopIfTrue="1" operator="lessThan">
      <formula>-0.03</formula>
    </cfRule>
  </conditionalFormatting>
  <conditionalFormatting sqref="Z46:AA46">
    <cfRule type="cellIs" dxfId="49" priority="53" operator="greaterThan">
      <formula>0.03</formula>
    </cfRule>
    <cfRule type="cellIs" dxfId="48" priority="54" stopIfTrue="1" operator="lessThan">
      <formula>-0.03</formula>
    </cfRule>
  </conditionalFormatting>
  <conditionalFormatting sqref="Z50:AA50">
    <cfRule type="cellIs" dxfId="47" priority="51" operator="greaterThan">
      <formula>0.03</formula>
    </cfRule>
    <cfRule type="cellIs" dxfId="46" priority="52" stopIfTrue="1" operator="lessThan">
      <formula>-0.03</formula>
    </cfRule>
  </conditionalFormatting>
  <conditionalFormatting sqref="Z54:AA54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Z58:AA58">
    <cfRule type="cellIs" dxfId="43" priority="47" operator="greaterThan">
      <formula>0.03</formula>
    </cfRule>
    <cfRule type="cellIs" dxfId="42" priority="48" stopIfTrue="1" operator="lessThan">
      <formula>-0.03</formula>
    </cfRule>
  </conditionalFormatting>
  <conditionalFormatting sqref="Z62:AA62">
    <cfRule type="cellIs" dxfId="41" priority="45" operator="greaterThan">
      <formula>0.03</formula>
    </cfRule>
    <cfRule type="cellIs" dxfId="40" priority="46" stopIfTrue="1" operator="lessThan">
      <formula>-0.03</formula>
    </cfRule>
  </conditionalFormatting>
  <conditionalFormatting sqref="Z66:AA66">
    <cfRule type="cellIs" dxfId="39" priority="43" operator="greaterThan">
      <formula>0.03</formula>
    </cfRule>
    <cfRule type="cellIs" dxfId="38" priority="44" stopIfTrue="1" operator="lessThan">
      <formula>-0.03</formula>
    </cfRule>
  </conditionalFormatting>
  <conditionalFormatting sqref="Z70:AA70 Z74:AA74 Z78:AA78 Z82:AA82">
    <cfRule type="cellIs" dxfId="37" priority="41" operator="greaterThan">
      <formula>0.03</formula>
    </cfRule>
    <cfRule type="cellIs" dxfId="36" priority="42" stopIfTrue="1" operator="lessThan">
      <formula>-0.03</formula>
    </cfRule>
  </conditionalFormatting>
  <conditionalFormatting sqref="V3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V83:Y98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Z83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AA8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AB8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Z87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AA8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AB8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Z91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A91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AB91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Z95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AA95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AB95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Z86:AA86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Z90:AA90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Z94:AA94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Z98:AA98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bevan</cp:lastModifiedBy>
  <dcterms:created xsi:type="dcterms:W3CDTF">2011-06-30T00:09:01Z</dcterms:created>
  <dcterms:modified xsi:type="dcterms:W3CDTF">2014-04-09T10:24:36Z</dcterms:modified>
</cp:coreProperties>
</file>